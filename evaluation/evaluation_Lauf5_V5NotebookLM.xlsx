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Lauf-Info" sheetId="1" state="visible" r:id="rId3"/>
    <sheet name="Befunde" sheetId="2" state="visible" r:id="rId4"/>
    <sheet name="Übersicht" sheetId="3" state="visible" r:id="rId5"/>
    <sheet name="Nicht geprüft" sheetId="4" state="visible" r:id="rId6"/>
  </sheets>
  <definedNames>
    <definedName function="false" hidden="true" localSheetId="1" name="_xlnm._FilterDatabase" vbProcedure="false">Befunde!$A$1:$H$29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<sst xmlns="http://schemas.openxmlformats.org/spreadsheetml/2006/main" count="253" uniqueCount="187">
  <si>
    <t xml:space="preserve">Evaluationsdatei – Fragebogenlauf</t>
  </si>
  <si>
    <t xml:space="preserve">Lauf</t>
  </si>
  <si>
    <t xml:space="preserve">Lauf 5 – NotebookLM</t>
  </si>
  <si>
    <t xml:space="preserve">Geprüfte Datei</t>
  </si>
  <si>
    <t xml:space="preserve">KI_Readiness_Fragebogen_Microsoft_Copilot_v4.docx</t>
  </si>
  <si>
    <t xml:space="preserve">Zugrunde liegender Prompt</t>
  </si>
  <si>
    <t xml:space="preserve">nicht in der Prüfung angegeben</t>
  </si>
  <si>
    <t xml:space="preserve">Fall</t>
  </si>
  <si>
    <t xml:space="preserve">Microsoft Copilot</t>
  </si>
  <si>
    <t xml:space="preserve">Prüfende Instanz</t>
  </si>
  <si>
    <t xml:space="preserve">Claude (unabhängige Gutachterrolle, Prüfprompt mit Kriterien 0–D)</t>
  </si>
  <si>
    <t xml:space="preserve">Prüfdatum</t>
  </si>
  <si>
    <t xml:space="preserve">15.10.2026</t>
  </si>
  <si>
    <t xml:space="preserve">Prüfgrundlage</t>
  </si>
  <si>
    <t xml:space="preserve">D1 Itemkatalog; S1a, S1b (MAILS); S2 (ATAI); P2, P3, P4, P5</t>
  </si>
  <si>
    <t xml:space="preserve">Prüfkriterien</t>
  </si>
  <si>
    <t xml:space="preserve">0 Quellenechtheit · A Theorievermischung · B Double-Barreled · C Suggestivität/Verständlichkeit · D Fehlende Quellenangaben</t>
  </si>
  <si>
    <t xml:space="preserve">Schweregrade</t>
  </si>
  <si>
    <t xml:space="preserve">schwer = misst nicht, was es messen soll (immer bei 0-Erfindung und A) · mittel = Validität/Nachvollziehbarkeit eingeschränkt · gering = formale/sprachliche Unschärfe</t>
  </si>
  <si>
    <t xml:space="preserve">Geprüfte Items (Anzahl)</t>
  </si>
  <si>
    <t xml:space="preserve">Itemverteilung</t>
  </si>
  <si>
    <t xml:space="preserve">Geprüfte Hypothesen (Anzahl)</t>
  </si>
  <si>
    <t xml:space="preserve">Wichtigste Schwäche</t>
  </si>
  <si>
    <t xml:space="preserve">Die wichtigste Schwäche ist, dass Fundstellen und Validierungsumfang nur behauptet und nicht geprüft werden. Das Prüfprotokoll meldet „erfüllt“, obwohl Originalitems nicht belegt sind (P3_BI), eine Teilskala als ganzes Konstrukt gilt (TTF Intellective) und die Filteritems fehlen. Die schweren Fehler (erfundene Items, falsche Literaturangaben) waren im Prompt bereits verboten; ein Verbot allein verhindert sie nicht.</t>
  </si>
  <si>
    <t xml:space="preserve">Abgeleitete Prompt-Regel</t>
  </si>
  <si>
    <t xml:space="preserve">Ein Erstellungs-Prompt sollte deshalb vorschreiben: Jedes Originalitem und jede Skalenangabe wird wörtlich mit Seitenzahl aus der Quelle zitiert, sonst gilt „nicht in den Quellen enthalten“ und das Item entfällt. Außerdem wird ein Konstrukt nur so operationalisiert und aggregiert, wie es im final validierten Modell der Quelle steht (inklusive Filteritems und ohne ausgeschlossene Dimensionen). Zusätzlich: erst wörtlich extrahieren (Inventar), dann nur aus dem Inventar bauen; vor der Ausgabe eine wiederholte Prüfschleife gegen die Quelle, bis ein Durchlauf null Fehler ergibt.</t>
  </si>
  <si>
    <t xml:space="preserve">Umsetzung im Prompt</t>
  </si>
  <si>
    <t xml:space="preserve">Umgesetzt in V6_NotebookLM (Teil I Inventar, Teil II Fragebogen, Prüfschleife bis 0 Fehler, max. 3 Durchläufe). Grenze: Die Prüfschleife läuft im selben Chat und ist nicht unabhängig; das Gutachten deshalb in einem neuen Chat wiederholen.</t>
  </si>
  <si>
    <t xml:space="preserve">Nr.</t>
  </si>
  <si>
    <t xml:space="preserve">Kriterium</t>
  </si>
  <si>
    <t xml:space="preserve">Fundstelle (Item-ID)</t>
  </si>
  <si>
    <t xml:space="preserve">Befund</t>
  </si>
  <si>
    <t xml:space="preserve">Schwere</t>
  </si>
  <si>
    <t xml:space="preserve">Korrekturvorschlag</t>
  </si>
  <si>
    <t xml:space="preserve">Beleg</t>
  </si>
  <si>
    <t xml:space="preserve">Status Prompt-Revision</t>
  </si>
  <si>
    <t xml:space="preserve">0</t>
  </si>
  <si>
    <t xml:space="preserve">P3_BI_1–3</t>
  </si>
  <si>
    <t xml:space="preserve">Die angegebenen Originalitems stehen nicht in den Quellen. P3 nennt nur „BI (3 items) was adapted from UTAUT“ und gibt keinen Wortlaut an. D1 Q3 enthält andere BI-Items. „I predict I would use …“ kommt in keiner Quelle vor [Modellwissen: UTAUT-Standarditem].</t>
  </si>
  <si>
    <t xml:space="preserve">schwer</t>
  </si>
  <si>
    <t xml:space="preserve">Die BI-Items aus D1 Q3 im deutschen Wortlaut übernehmen: „Ich beabsichtige, Microsoft Copilot künftig für meine Aufgaben einzusetzen.“ / „Ich plane, Microsoft Copilot für meine Aufgaben zu nutzen.“ / „Wenn Microsoft Copilot verfügbar wäre, würde ich ihn für meine Aufgaben einsetzen.“ IDs D1_Q3_BI_1–3, Code K.</t>
  </si>
  <si>
    <t xml:space="preserve">P3, S. 322; D1 Q3 (BI)</t>
  </si>
  <si>
    <t xml:space="preserve">S1a_Item_32–34</t>
  </si>
  <si>
    <t xml:space="preserve">Der zitierte Wortlaut („everyday things / everyday interactions / everyday purposes“) steht nur in S1b, Appendix A. In S1a heißt es „doing things“, „interactions“ und „different purposes“. Die Fundstelle S1a stimmt also nicht.</t>
  </si>
  <si>
    <t xml:space="preserve">gering</t>
  </si>
  <si>
    <t xml:space="preserve">Fundstelle auf „S1b, Appendix A“ ändern und die Abweichung zwischen S1a und S1b vermerken.</t>
  </si>
  <si>
    <t xml:space="preserve">S1a, S. 3; S1b, Appendix A</t>
  </si>
  <si>
    <t xml:space="preserve">ID-Schema (D1_Q2_*, D1_Q3_TTF_*)</t>
  </si>
  <si>
    <t xml:space="preserve">Laut Schema übernehmen die IDs die „Originalbezeichnung laut D1“. D1 enthält für Q2/Q3 aber keine Kürzel, nur nummerierte Konstrukte. „INT“ ist auch kein P2-Kürzel, P2 verwendet „BI“. Die TTF-IDs lassen den Aufgabentyp nicht erkennen.</t>
  </si>
  <si>
    <t xml:space="preserve">Die Kürzel als P2-Abkürzungen ausweisen (ATT, PN, PUSF, PEOU, BI) und den Aufgabentyp in die ID aufnehmen (z. B. D1_Q3_TTF_INTELL_1).</t>
  </si>
  <si>
    <t xml:space="preserve">D1 Q2/Q3; P2, S. 966 (Tabellenlegende)</t>
  </si>
  <si>
    <t xml:space="preserve">A</t>
  </si>
  <si>
    <t xml:space="preserve">D1_Q3_TTF_1–3; H6, H7</t>
  </si>
  <si>
    <t xml:space="preserve">TTF wird nur mit der Teilskala „Intellective“ gemessen (3 von 24 Fit-Items). P3 bildet TTF als Mittelwert aller Fit-Items der relevanten Aufgabentypen. Die Dimension Intellective wurde wegen unzureichender Ladung ausgeschlossen. β = .810/.836 gelten nur für das aggregierte TTF. Damit misst die Skala nicht das validierte Konstrukt.</t>
  </si>
  <si>
    <t xml:space="preserve">Alle 8 Aufgabentypen × 3 Fit-Items aus D1 Q3 übernehmen („Copilot“ statt „VR“), Filter ≥ 4 je Aufgabentyp, TTF = Mittelwert der relevanten Fit-Items.</t>
  </si>
  <si>
    <t xml:space="preserve">P3, S. 322–323</t>
  </si>
  <si>
    <t xml:space="preserve">D1_Q4_I1–I3, D1_Q4_T1; H3</t>
  </si>
  <si>
    <t xml:space="preserve">Laut Definition in Tabelle A misst P4 die organisationale Nutzungsentscheidung („intention to decide on using genAI in organisational contexts“), erhoben bei Führungskräften. Die Ich-Fassungen messen dagegen die individuelle Nutzungsabsicht. Die Kennzeichnung als „I/explorativ“ ändert an der Konstruktverschiebung nichts. T1 setzt außerdem Entscheidungsbefugnis voraus.</t>
  </si>
  <si>
    <t xml:space="preserve">Variante a: die Wir-Fassungen aus D1 (deutsch) wörtlich übernehmen und H1–H3 nur für die Teilstichprobe der Entscheidungsträger auswerten. Variante b: individuelle Absicht nur über D1_Q2_INT messen und H3 streichen.</t>
  </si>
  <si>
    <t xml:space="preserve">P4, S. 8, S. 16; D1 Q4</t>
  </si>
  <si>
    <t xml:space="preserve">B</t>
  </si>
  <si>
    <t xml:space="preserve">D1_Q4_T2</t>
  </si>
  <si>
    <t xml:space="preserve">„bedarf menschlicher Kontrolle, daher sollte …“ verbindet eine Feststellung mit einer Folgerung.</t>
  </si>
  <si>
    <t xml:space="preserve">Item beibehalten: Alle reflektiven Indikatoren laden &gt; .70. Begründung in die Spalte Adaption aufnehmen.</t>
  </si>
  <si>
    <t xml:space="preserve">P4, S. 9</t>
  </si>
  <si>
    <t xml:space="preserve">S1a_Item_32, S1a_Item_33</t>
  </si>
  <si>
    <t xml:space="preserve">„Frustration und Angst“ bzw. „frustrieren oder ängstigen“ sind jeweils Begriffspaare.</t>
  </si>
  <si>
    <t xml:space="preserve">Items beibehalten: Die Subskala ist per CFA validiert (α = .71). Den Pretest-Prüfpunkt streichen, weil eine getrennte Erfassung die Validierung aufheben würde.</t>
  </si>
  <si>
    <t xml:space="preserve">S1b, Abschn. 4</t>
  </si>
  <si>
    <t xml:space="preserve">C</t>
  </si>
  <si>
    <t xml:space="preserve">D1_Q4_X2, X3, T4</t>
  </si>
  <si>
    <t xml:space="preserve">Der Indikativ („kann nachvollziehen, ob die Ergebnisse … richtig sind“, „vertraue den Antworten“) setzt Erfahrung mit Copilot-Ergebnissen voraus. Copilot ist aber noch nicht eingeführt.</t>
  </si>
  <si>
    <t xml:space="preserve">mittel</t>
  </si>
  <si>
    <t xml:space="preserve">Wortlaut beibehalten (validiert). Wie in P4 eine Kontrollfrage zur Vorerfahrung ergänzen („Erfahrung mit Microsoft Copilot/ChatGPT: ja/nein“) und getrennt auswerten.</t>
  </si>
  <si>
    <t xml:space="preserve">P4, S. 8 (30,4 % ohne Erfahrung), S. 9</t>
  </si>
  <si>
    <t xml:space="preserve">D1_Q4_D1</t>
  </si>
  <si>
    <t xml:space="preserve">Die Polung ist mehrdeutig. Englisch „no doubts that … will pass“ heißt, die Weitergabe gilt als sicher (negativ). Deutsch „keine Bedenken, dass … weitergibt“ heißt, es besteht keine Sorge (positiv). Das Item ist nicht als R markiert, und die Quelle dokumentiert keine Richtung.</t>
  </si>
  <si>
    <t xml:space="preserve">Die deutsche D1-Fassung wörtlich übernehmen („… unsere eingegebenen unternehmensinternen Informationen …“). Positive Polung als [eigene Bewertung] dokumentieren und als Pretest-Prüfpunkt aufnehmen.</t>
  </si>
  <si>
    <t xml:space="preserve">D1 Q4 (D1); P4: keine Angabe</t>
  </si>
  <si>
    <t xml:space="preserve">D1_Q2_INT_1 = P3_BI_3; D1_Q2_INT_2 ≈ P3_BI_1 ≈ D1_Q4_I2</t>
  </si>
  <si>
    <t xml:space="preserve">„Ich plane, Microsoft Copilot in Zukunft zu nutzen.“ erscheint zweimal wortgleich, drei weitere Items sind fast identisch. Befragte bekommen dasselbe Item mehrfach, die drei Kriterien lassen sich kaum trennen.</t>
  </si>
  <si>
    <t xml:space="preserve">Wird Nr. 1 (D1-BI mit Aufgabenbezug) und Nr. 5a (Wir-Fassung) umgesetzt, bleiben keine identischen Items. Danach die Formulierungen erneut abgleichen.</t>
  </si>
  <si>
    <t xml:space="preserve">D1 Q2, Q3, Q4</t>
  </si>
  <si>
    <t xml:space="preserve">D1_Q2_PEOU_3, D1_Q2_PUSF_4</t>
  </si>
  <si>
    <t xml:space="preserve">„Mit anderen Worten:“ setzt ein vorhergehendes Item voraus. Werden die Items gemischt präsentiert, ergibt das keinen Sinn.</t>
  </si>
  <si>
    <t xml:space="preserve">Original beibehalten, aber eine feste Reihenfolge innerhalb der Skala vorgeben [eigene Bewertung].</t>
  </si>
  <si>
    <t xml:space="preserve">D1 Q2</t>
  </si>
  <si>
    <t xml:space="preserve">D1_Q2_PEOU_2</t>
  </si>
  <si>
    <t xml:space="preserve">„Hauptfunktion“ war für PowerPilot (eine Funktion) eindeutig. Copilot hat dagegen mehrere Funktionen (siehe Instruktion), daher ist der Begriff mehrdeutig.</t>
  </si>
  <si>
    <t xml:space="preserve">Wortlaut beibehalten und als Pretest-Prüfpunkt aufnehmen [eigene Bewertung].</t>
  </si>
  <si>
    <t xml:space="preserve">D1 Q2; Instruktion</t>
  </si>
  <si>
    <t xml:space="preserve">D1_Q2_INT_3 („auf jeden Fall“), D1_Q4_T1 („komplette“), S2_Item_03 („Menschheit zerstören“), S1a_Item_34 (setzt Euphorie voraus)</t>
  </si>
  <si>
    <t xml:space="preserve">Verstärker, Extremformulierungen bzw. Präsupposition</t>
  </si>
  <si>
    <t xml:space="preserve">Alle beibehalten: Der Originalwortlaut ist validiert.</t>
  </si>
  <si>
    <t xml:space="preserve">P2, S. 965; P4, S. 9; S2, S. 113; S1b, Appendix A</t>
  </si>
  <si>
    <t xml:space="preserve">D</t>
  </si>
  <si>
    <t xml:space="preserve">Instruktion / Tab. B / Tab. D</t>
  </si>
  <si>
    <t xml:space="preserve">Die Instruktion kündigt den Häufigkeitsfilter (6-stufig) an, und Tab. D bescheinigt „vollständig in Tabelle B integriert“. Tab. B enthält aber keine einzige Filterfrage (TC-Item).</t>
  </si>
  <si>
    <t xml:space="preserve">Die 24 TC-Items aus D1 Q3 aufnehmen (nie – täglich). Vermerken, dass P3 TC_Performance_3 aus dem Modell entfernt hat.</t>
  </si>
  <si>
    <t xml:space="preserve">P3, S. 322–323; D1 Q3</t>
  </si>
  <si>
    <t xml:space="preserve">Auswertungshinweis 2; D1_Q4_T2</t>
  </si>
  <si>
    <t xml:space="preserve">In Tab. B und Tab. D ist T2 als (R) geführt, im Auswertungshinweis wird aber nur D3 invertiert. Der Trust-Index würde dadurch falsch berechnet. Dass D3 und T2 umgepolt werden, steht nicht in P4.</t>
  </si>
  <si>
    <t xml:space="preserve">T2 in den Auswertungshinweis aufnehmen. Die Umpolung von D3/T2 als [eigene Bewertung] kennzeichnen.</t>
  </si>
  <si>
    <t xml:space="preserve">P4 (keine Angabe)</t>
  </si>
  <si>
    <t xml:space="preserve">D1_Q2_PN_1–3; Tab. A</t>
  </si>
  <si>
    <t xml:space="preserve">Tab. A beschreibt den Einfluss von „Kolleginnen und Kollegen“. PN_1 und PN_2 fragen nach Freunden und Familie, das zweite Kollegen-Item (PN_4) fehlt.</t>
  </si>
  <si>
    <t xml:space="preserve">Alle vier P2-Items verwenden und die Passung in Tab. A anpassen.</t>
  </si>
  <si>
    <t xml:space="preserve">P2, S. 965 (four items); D1 Q2</t>
  </si>
  <si>
    <t xml:space="preserve">alle S1a_Items</t>
  </si>
  <si>
    <t xml:space="preserve">Die Angabe „Offizielle deutsche Fassung der Autoren (S1b, S. 4)“ ist nicht belegt. S1b sagt nur, dass die Erhebung auf Deutsch stattfand, ein deutscher Wortlaut steht nicht in den Quellen.</t>
  </si>
  <si>
    <t xml:space="preserve">Als eigene Übersetzung (Ü) kennzeichnen und eine Rückübersetzung erstellen. Alternativ die deutsche Fassung bei den Autoren anfordern.</t>
  </si>
  <si>
    <t xml:space="preserve">S1b, Abschn. 3.2</t>
  </si>
  <si>
    <t xml:space="preserve">Tab. A (P4-Skala); Fundstellen „P4, Appendix, S. 20“</t>
  </si>
  <si>
    <t xml:space="preserve">P4 nennt keine Antwortskala, daher ist die dokumentierte Umstellung 7 → 5 nicht belegt. S. 20 ist Teil des Literaturverzeichnisses, der Anhang fehlt in der Quelle.</t>
  </si>
  <si>
    <t xml:space="preserve">„Originalskala: nicht in den Quellen enthalten“ eintragen und die Items nur mit D1 Q4 belegen.</t>
  </si>
  <si>
    <t xml:space="preserve">P4, S. 8–9, 19–22</t>
  </si>
  <si>
    <t xml:space="preserve">ATT, PUSF, PN, Trust</t>
  </si>
  <si>
    <t xml:space="preserve">Validierte Skalen mit 4 Items werden ohne Begründung auf 3 gekürzt. Die Regel „genau 3 Items“ stammt aus keiner Quelle.</t>
  </si>
  <si>
    <t xml:space="preserve">Vollständige Skalen verwenden oder die Kürzung begründen und als Adaption kennzeichnen (z. B. PUSF_3 „finanzielle Unabhängigkeit“ lässt sich nicht übertragen).</t>
  </si>
  <si>
    <t xml:space="preserve">P2, S. 965; P4, S. 8</t>
  </si>
  <si>
    <t xml:space="preserve">Fundstellen „P2, S. 963“ (Items); „P3, S. 321“ (Skala, Filter, Definitionen PERF/BI)</t>
  </si>
  <si>
    <t xml:space="preserve">P2 S. 963 enthält nur Definitionen und keine Items. Messung und Filter stehen in P3 auf S. 322. Die PERF-„Definition“ ist Instruktionstext aus D1. Eine BI-Definition gibt es in P3 nicht.</t>
  </si>
  <si>
    <t xml:space="preserve">Seitenzahlen korrigieren. Die Items nur mit D1 belegen. PERF als „Instruktionstext D1 Q3“ führen, für BI „nicht in den Quellen enthalten“ eintragen.</t>
  </si>
  <si>
    <t xml:space="preserve">P2, S. 963; P3, S. 322; D1 Q3</t>
  </si>
  <si>
    <t xml:space="preserve">Instruktion (Antwortformat)</t>
  </si>
  <si>
    <t xml:space="preserve">Die Option „kann ich nicht beurteilen“ und das Mittellabel „teils/teils“ (in P3/D1: „Neutral“) stammen aus keiner Quelle und sind nicht als Adaption dokumentiert.</t>
  </si>
  <si>
    <t xml:space="preserve">Als nicht validierte Adaption (S) dokumentieren.</t>
  </si>
  <si>
    <t xml:space="preserve">P3, S. 322; D1 Q3</t>
  </si>
  <si>
    <t xml:space="preserve">H4, Gegenannahme</t>
  </si>
  <si>
    <t xml:space="preserve">β = −.143 beschreibt in P2 den Effekt der Kontrollvariable Alter auf Attitude, nicht eine Moderation des Pfads Attitude → Intention.</t>
  </si>
  <si>
    <t xml:space="preserve">Umformulieren: „Alter wirkt negativ auf Attitude (β = −.143, p &lt; .01; P2, S. 967).“</t>
  </si>
  <si>
    <t xml:space="preserve">P2, S. 967</t>
  </si>
  <si>
    <t xml:space="preserve">H1, Gegenannahme</t>
  </si>
  <si>
    <t xml:space="preserve">„In Nicht-IT-Abteilungen ist Integrity wichtiger“ widerspricht der Quelle: Im Vertrieb (Nicht-IT) ist Ability .556 &gt; Integrity .344.</t>
  </si>
  <si>
    <t xml:space="preserve">Umformulieren: „In Unternehmensführung, Kundenservice und Produktentwicklung/Marketing ist Integrity &gt; Ability.“</t>
  </si>
  <si>
    <t xml:space="preserve">P4, S. 11, Abb. 3</t>
  </si>
  <si>
    <t xml:space="preserve">H5, Gegenannahme</t>
  </si>
  <si>
    <t xml:space="preserve">Die Aussage stammt von Hua &amp; Wang (2019) und wird in P2 nur referiert. P2 kommt zum gegenteiligen Ergebnis.</t>
  </si>
  <si>
    <t xml:space="preserve">„(Hua &amp; Wang, 2019, zit. n. P2, S. 967)“</t>
  </si>
  <si>
    <t xml:space="preserve">Literatur P2</t>
  </si>
  <si>
    <t xml:space="preserve">Titel, Autorenliste und Seiten sind falsch.</t>
  </si>
  <si>
    <t xml:space="preserve">Wichmann, J., Behn, O., Degirmenci, K., Leyer, M., &amp; Barros, A. (2025). An integrated theoretical model to predict the intention to use energy monitoring applications. Evidence from Germany. Proc. 58th HICSS, 961–970. (Autorenreihenfolge nach Titelblatt, zweispaltig gesetzt)</t>
  </si>
  <si>
    <t xml:space="preserve">P2, S. 961</t>
  </si>
  <si>
    <t xml:space="preserve">Literatur P5</t>
  </si>
  <si>
    <t xml:space="preserve">Titel und Koautoren sind falsch.</t>
  </si>
  <si>
    <t xml:space="preserve">Wichmann, J., Gesk, T. S., &amp; Leyer, M. (2026). The effect of social interaction in virtual meeting settings on work engagement: A socio-technical systems study. Information Technology and Management, 27, 173–185.</t>
  </si>
  <si>
    <t xml:space="preserve">P5, S. 173</t>
  </si>
  <si>
    <t xml:space="preserve">Literaturverzeichnis</t>
  </si>
  <si>
    <t xml:space="preserve">D1 wird durchgehend als Quelle zitiert, fehlt aber im Literaturverzeichnis. Die Angaben „19(1-2)“ (P4) und Heft „(2)“ (MAILS) stehen nicht in den Quellen. Die DOIs fehlen, obwohl sie in den Quellen stehen.</t>
  </si>
  <si>
    <t xml:space="preserve">D1 als unveröffentlichten Itemkatalog aufnehmen, die unbelegten Band- und Heftangaben entfernen und die DOIs ergänzen.</t>
  </si>
  <si>
    <t xml:space="preserve">P4, S. 1; S1b, S. 1</t>
  </si>
  <si>
    <t xml:space="preserve">Tab. A (Labels)</t>
  </si>
  <si>
    <t xml:space="preserve">Die Intention zu Ajzen &amp; Fishbein (1975) ist als „Vertrauensmodell“ etikettiert. ATAI-Fear soll laut Tab. A auch „Kontrollverlust“ erfassen, dazu gibt es aber kein Item.</t>
  </si>
  <si>
    <t xml:space="preserve">Label in „TRA-Standarditems (Ajzen &amp; Fishbein, 1975, zit. n. P4)“ ändern und „Kontrollverlust“ streichen.</t>
  </si>
  <si>
    <t xml:space="preserve">P4, S. 8; S2, S. 110</t>
  </si>
  <si>
    <t xml:space="preserve">Befunde je Kriterium und Schwere (berechnet aus Blatt „Befunde“)</t>
  </si>
  <si>
    <t xml:space="preserve">Bezeichnung</t>
  </si>
  <si>
    <t xml:space="preserve">Summe</t>
  </si>
  <si>
    <t xml:space="preserve">Quellenechtheit</t>
  </si>
  <si>
    <t xml:space="preserve">Theorievermischung</t>
  </si>
  <si>
    <t xml:space="preserve">Double-Barreled</t>
  </si>
  <si>
    <t xml:space="preserve">Suggestivität / Verständlichkeit</t>
  </si>
  <si>
    <t xml:space="preserve">Fehlende Quellenangaben</t>
  </si>
  <si>
    <t xml:space="preserve">Kennzahlen</t>
  </si>
  <si>
    <t xml:space="preserve">Geprüfte Items</t>
  </si>
  <si>
    <t xml:space="preserve">Geprüfte Hypothesen</t>
  </si>
  <si>
    <t xml:space="preserve">Befunde gesamt</t>
  </si>
  <si>
    <t xml:space="preserve">Befunde je Item</t>
  </si>
  <si>
    <t xml:space="preserve">Hypothesen mit A-Befund (schwer)</t>
  </si>
  <si>
    <t xml:space="preserve">Manuell gezählt: H3 (Befund Nr. 5), H6 und H7 (Befund Nr. 4).</t>
  </si>
  <si>
    <t xml:space="preserve">Anteil Hypothesen mit A-Befund</t>
  </si>
  <si>
    <t xml:space="preserve">Offene Befunde (Status „offen“)</t>
  </si>
  <si>
    <t xml:space="preserve">Element</t>
  </si>
  <si>
    <t xml:space="preserve">Status</t>
  </si>
  <si>
    <t xml:space="preserve">Bemerkung</t>
  </si>
  <si>
    <t xml:space="preserve">Brückenhypothesen</t>
  </si>
  <si>
    <t xml:space="preserve">nicht vorhanden – nicht geprüft</t>
  </si>
  <si>
    <t xml:space="preserve">Kein Befund laut Prüfregel.</t>
  </si>
  <si>
    <t xml:space="preserve">Instruktion: Anonymitätshinweis und neutrale Beschreibung des Gegenstands</t>
  </si>
  <si>
    <t xml:space="preserve">geprüft – kein Befund</t>
  </si>
  <si>
    <t xml:space="preserve">Wortlaut der D1-Q4-Originale</t>
  </si>
  <si>
    <t xml:space="preserve">Wortlaut der D1-Q2-Originale</t>
  </si>
  <si>
    <t xml:space="preserve">Wortlaut der TTF- und PERF-Originale</t>
  </si>
  <si>
    <t xml:space="preserve">ATAI-Items und Faktorzuordnung</t>
  </si>
  <si>
    <t xml:space="preserve">Pfadkoeffizienten von H1–H3 und H5–H7</t>
  </si>
  <si>
    <t xml:space="preserve">Auswertung</t>
  </si>
  <si>
    <t xml:space="preserve">Keine skalenübergreifende Aggregation.</t>
  </si>
</sst>
</file>

<file path=xl/styles.xml><?xml version="1.0" encoding="utf-8"?>
<styleSheet xmlns="http://schemas.openxmlformats.org/spreadsheetml/2006/main">
  <numFmts count="3">
    <numFmt numFmtId="164" formatCode="General"/>
    <numFmt numFmtId="165" formatCode="0.00"/>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1"/>
      <color rgb="FFFFFFFF"/>
      <name val="Arial"/>
      <family val="0"/>
      <charset val="1"/>
    </font>
    <font>
      <b val="true"/>
      <sz val="12"/>
      <name val="Arial"/>
      <family val="0"/>
      <charset val="1"/>
    </font>
    <font>
      <sz val="10"/>
      <color rgb="FF0000FF"/>
      <name val="Arial"/>
      <family val="0"/>
      <charset val="1"/>
    </font>
    <font>
      <i val="true"/>
      <sz val="9"/>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F2CC"/>
          <bgColor rgb="FF000000"/>
        </patternFill>
      </fill>
    </dxf>
    <dxf>
      <fill>
        <patternFill>
          <bgColor rgb="FFF4CCCC"/>
        </patternFill>
      </fill>
    </dxf>
    <dxf>
      <fill>
        <patternFill>
          <bgColor rgb="FFFCE5CD"/>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5CD"/>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32.25" hidden="false" customHeight="true" outlineLevel="0" collapsed="false">
      <c r="A1" s="2" t="s">
        <v>0</v>
      </c>
      <c r="B1" s="3"/>
    </row>
    <row r="2" customFormat="false" ht="15" hidden="false" customHeight="true" outlineLevel="0" collapsed="false">
      <c r="A2" s="4" t="s">
        <v>1</v>
      </c>
      <c r="B2" s="3" t="s">
        <v>2</v>
      </c>
    </row>
    <row r="3" customFormat="false" ht="15" hidden="false" customHeight="true" outlineLevel="0" collapsed="false">
      <c r="A3" s="4" t="s">
        <v>3</v>
      </c>
      <c r="B3" s="3" t="s">
        <v>4</v>
      </c>
    </row>
    <row r="4" customFormat="false" ht="15" hidden="false" customHeight="true" outlineLevel="0" collapsed="false">
      <c r="A4" s="4" t="s">
        <v>5</v>
      </c>
      <c r="B4" s="3" t="s">
        <v>6</v>
      </c>
    </row>
    <row r="5" customFormat="false" ht="15" hidden="false" customHeight="true" outlineLevel="0" collapsed="false">
      <c r="A5" s="4" t="s">
        <v>7</v>
      </c>
      <c r="B5" s="3" t="s">
        <v>8</v>
      </c>
    </row>
    <row r="6" customFormat="false" ht="15" hidden="false" customHeight="true" outlineLevel="0" collapsed="false">
      <c r="A6" s="4" t="s">
        <v>9</v>
      </c>
      <c r="B6" s="3" t="s">
        <v>10</v>
      </c>
    </row>
    <row r="7" customFormat="false" ht="15" hidden="false" customHeight="true" outlineLevel="0" collapsed="false">
      <c r="A7" s="4" t="s">
        <v>11</v>
      </c>
      <c r="B7" s="3" t="s">
        <v>12</v>
      </c>
    </row>
    <row r="8" customFormat="false" ht="15" hidden="false" customHeight="true" outlineLevel="0" collapsed="false">
      <c r="A8" s="4" t="s">
        <v>13</v>
      </c>
      <c r="B8" s="3" t="s">
        <v>14</v>
      </c>
    </row>
    <row r="9" customFormat="false" ht="15" hidden="false" customHeight="true" outlineLevel="0" collapsed="false">
      <c r="A9" s="4" t="s">
        <v>15</v>
      </c>
      <c r="B9" s="3" t="s">
        <v>16</v>
      </c>
    </row>
    <row r="10" customFormat="false" ht="23.25" hidden="false" customHeight="true" outlineLevel="0" collapsed="false">
      <c r="A10" s="4" t="s">
        <v>17</v>
      </c>
      <c r="B10" s="3" t="s">
        <v>18</v>
      </c>
    </row>
    <row r="11" customFormat="false" ht="15" hidden="false" customHeight="true" outlineLevel="0" collapsed="false">
      <c r="A11" s="4" t="s">
        <v>19</v>
      </c>
      <c r="B11" s="3" t="n">
        <v>47</v>
      </c>
    </row>
    <row r="12" customFormat="false" ht="15" hidden="false" customHeight="true" outlineLevel="0" collapsed="false">
      <c r="A12" s="4" t="s">
        <v>20</v>
      </c>
      <c r="B12" s="3" t="s">
        <v>6</v>
      </c>
    </row>
    <row r="13" customFormat="false" ht="15" hidden="false" customHeight="true" outlineLevel="0" collapsed="false">
      <c r="A13" s="4" t="s">
        <v>21</v>
      </c>
      <c r="B13" s="3" t="n">
        <v>7</v>
      </c>
    </row>
    <row r="14" customFormat="false" ht="15" hidden="false" customHeight="true" outlineLevel="0" collapsed="false">
      <c r="A14" s="4" t="s">
        <v>22</v>
      </c>
      <c r="B14" s="3" t="s">
        <v>23</v>
      </c>
    </row>
    <row r="15" customFormat="false" ht="23.25" hidden="false" customHeight="true" outlineLevel="0" collapsed="false">
      <c r="A15" s="4" t="s">
        <v>24</v>
      </c>
      <c r="B15" s="3" t="s">
        <v>25</v>
      </c>
    </row>
    <row r="16" customFormat="false" ht="15" hidden="false" customHeight="true" outlineLevel="0" collapsed="false">
      <c r="A16" s="4" t="s">
        <v>26</v>
      </c>
      <c r="B16" s="3"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4"/>
    <col collapsed="false" customWidth="true" hidden="false" outlineLevel="0" max="4" min="4" style="1" width="70"/>
    <col collapsed="false" customWidth="true" hidden="false" outlineLevel="0" max="5" min="5" style="1" width="10"/>
    <col collapsed="false" customWidth="true" hidden="false" outlineLevel="0" max="6" min="6" style="1" width="60"/>
    <col collapsed="false" customWidth="true" hidden="false" outlineLevel="0" max="7" min="7" style="1" width="30"/>
    <col collapsed="false" customWidth="true" hidden="false" outlineLevel="0" max="8" min="8" style="1" width="22"/>
  </cols>
  <sheetData>
    <row r="1" customFormat="false" ht="26.25" hidden="false" customHeight="true" outlineLevel="0" collapsed="false">
      <c r="A1" s="5" t="s">
        <v>28</v>
      </c>
      <c r="B1" s="5" t="s">
        <v>29</v>
      </c>
      <c r="C1" s="5" t="s">
        <v>30</v>
      </c>
      <c r="D1" s="5" t="s">
        <v>31</v>
      </c>
      <c r="E1" s="5" t="s">
        <v>32</v>
      </c>
      <c r="F1" s="5" t="s">
        <v>33</v>
      </c>
      <c r="G1" s="5" t="s">
        <v>34</v>
      </c>
      <c r="H1" s="5" t="s">
        <v>35</v>
      </c>
    </row>
    <row r="2" customFormat="false" ht="57.45" hidden="false" customHeight="false" outlineLevel="0" collapsed="false">
      <c r="A2" s="6" t="n">
        <v>1</v>
      </c>
      <c r="B2" s="6" t="s">
        <v>36</v>
      </c>
      <c r="C2" s="6" t="s">
        <v>37</v>
      </c>
      <c r="D2" s="6" t="s">
        <v>38</v>
      </c>
      <c r="E2" s="6" t="s">
        <v>39</v>
      </c>
      <c r="F2" s="6" t="s">
        <v>40</v>
      </c>
      <c r="G2" s="6" t="s">
        <v>41</v>
      </c>
      <c r="H2" s="6"/>
    </row>
    <row r="3" customFormat="false" ht="35.05" hidden="false" customHeight="false" outlineLevel="0" collapsed="false">
      <c r="A3" s="6" t="n">
        <v>2</v>
      </c>
      <c r="B3" s="6" t="s">
        <v>36</v>
      </c>
      <c r="C3" s="6" t="s">
        <v>42</v>
      </c>
      <c r="D3" s="6" t="s">
        <v>43</v>
      </c>
      <c r="E3" s="6" t="s">
        <v>44</v>
      </c>
      <c r="F3" s="6" t="s">
        <v>45</v>
      </c>
      <c r="G3" s="6" t="s">
        <v>46</v>
      </c>
      <c r="H3" s="6"/>
    </row>
    <row r="4" customFormat="false" ht="35.05" hidden="false" customHeight="false" outlineLevel="0" collapsed="false">
      <c r="A4" s="6" t="n">
        <v>3</v>
      </c>
      <c r="B4" s="6" t="s">
        <v>36</v>
      </c>
      <c r="C4" s="6" t="s">
        <v>47</v>
      </c>
      <c r="D4" s="6" t="s">
        <v>48</v>
      </c>
      <c r="E4" s="6" t="s">
        <v>44</v>
      </c>
      <c r="F4" s="6" t="s">
        <v>49</v>
      </c>
      <c r="G4" s="6" t="s">
        <v>50</v>
      </c>
      <c r="H4" s="6"/>
    </row>
    <row r="5" customFormat="false" ht="57.45" hidden="false" customHeight="false" outlineLevel="0" collapsed="false">
      <c r="A5" s="6" t="n">
        <v>4</v>
      </c>
      <c r="B5" s="6" t="s">
        <v>51</v>
      </c>
      <c r="C5" s="6" t="s">
        <v>52</v>
      </c>
      <c r="D5" s="6" t="s">
        <v>53</v>
      </c>
      <c r="E5" s="6" t="s">
        <v>39</v>
      </c>
      <c r="F5" s="6" t="s">
        <v>54</v>
      </c>
      <c r="G5" s="6" t="s">
        <v>55</v>
      </c>
      <c r="H5" s="6"/>
    </row>
    <row r="6" customFormat="false" ht="57.45" hidden="false" customHeight="false" outlineLevel="0" collapsed="false">
      <c r="A6" s="6" t="n">
        <v>5</v>
      </c>
      <c r="B6" s="6" t="s">
        <v>51</v>
      </c>
      <c r="C6" s="6" t="s">
        <v>56</v>
      </c>
      <c r="D6" s="6" t="s">
        <v>57</v>
      </c>
      <c r="E6" s="6" t="s">
        <v>39</v>
      </c>
      <c r="F6" s="6" t="s">
        <v>58</v>
      </c>
      <c r="G6" s="6" t="s">
        <v>59</v>
      </c>
      <c r="H6" s="6"/>
    </row>
    <row r="7" customFormat="false" ht="23.85" hidden="false" customHeight="false" outlineLevel="0" collapsed="false">
      <c r="A7" s="6" t="n">
        <v>6</v>
      </c>
      <c r="B7" s="6" t="s">
        <v>60</v>
      </c>
      <c r="C7" s="6" t="s">
        <v>61</v>
      </c>
      <c r="D7" s="6" t="s">
        <v>62</v>
      </c>
      <c r="E7" s="6" t="s">
        <v>44</v>
      </c>
      <c r="F7" s="6" t="s">
        <v>63</v>
      </c>
      <c r="G7" s="6" t="s">
        <v>64</v>
      </c>
      <c r="H7" s="6"/>
    </row>
    <row r="8" customFormat="false" ht="35.05" hidden="false" customHeight="false" outlineLevel="0" collapsed="false">
      <c r="A8" s="6" t="n">
        <v>7</v>
      </c>
      <c r="B8" s="6" t="s">
        <v>60</v>
      </c>
      <c r="C8" s="6" t="s">
        <v>65</v>
      </c>
      <c r="D8" s="6" t="s">
        <v>66</v>
      </c>
      <c r="E8" s="6" t="s">
        <v>44</v>
      </c>
      <c r="F8" s="6" t="s">
        <v>67</v>
      </c>
      <c r="G8" s="6" t="s">
        <v>68</v>
      </c>
      <c r="H8" s="6"/>
    </row>
    <row r="9" customFormat="false" ht="35.05" hidden="false" customHeight="false" outlineLevel="0" collapsed="false">
      <c r="A9" s="6" t="n">
        <v>8</v>
      </c>
      <c r="B9" s="6" t="s">
        <v>69</v>
      </c>
      <c r="C9" s="6" t="s">
        <v>70</v>
      </c>
      <c r="D9" s="6" t="s">
        <v>71</v>
      </c>
      <c r="E9" s="6" t="s">
        <v>72</v>
      </c>
      <c r="F9" s="6" t="s">
        <v>73</v>
      </c>
      <c r="G9" s="6" t="s">
        <v>74</v>
      </c>
      <c r="H9" s="6"/>
    </row>
    <row r="10" customFormat="false" ht="46.25" hidden="false" customHeight="false" outlineLevel="0" collapsed="false">
      <c r="A10" s="6" t="n">
        <v>9</v>
      </c>
      <c r="B10" s="6" t="s">
        <v>69</v>
      </c>
      <c r="C10" s="6" t="s">
        <v>75</v>
      </c>
      <c r="D10" s="6" t="s">
        <v>76</v>
      </c>
      <c r="E10" s="6" t="s">
        <v>72</v>
      </c>
      <c r="F10" s="6" t="s">
        <v>77</v>
      </c>
      <c r="G10" s="6" t="s">
        <v>78</v>
      </c>
      <c r="H10" s="6"/>
    </row>
    <row r="11" customFormat="false" ht="35.05" hidden="false" customHeight="false" outlineLevel="0" collapsed="false">
      <c r="A11" s="6" t="n">
        <v>10</v>
      </c>
      <c r="B11" s="6" t="s">
        <v>69</v>
      </c>
      <c r="C11" s="6" t="s">
        <v>79</v>
      </c>
      <c r="D11" s="6" t="s">
        <v>80</v>
      </c>
      <c r="E11" s="6" t="s">
        <v>72</v>
      </c>
      <c r="F11" s="6" t="s">
        <v>81</v>
      </c>
      <c r="G11" s="6" t="s">
        <v>82</v>
      </c>
      <c r="H11" s="6"/>
    </row>
    <row r="12" customFormat="false" ht="23.85" hidden="false" customHeight="false" outlineLevel="0" collapsed="false">
      <c r="A12" s="6" t="n">
        <v>11</v>
      </c>
      <c r="B12" s="6" t="s">
        <v>69</v>
      </c>
      <c r="C12" s="6" t="s">
        <v>83</v>
      </c>
      <c r="D12" s="6" t="s">
        <v>84</v>
      </c>
      <c r="E12" s="6" t="s">
        <v>44</v>
      </c>
      <c r="F12" s="6" t="s">
        <v>85</v>
      </c>
      <c r="G12" s="6" t="s">
        <v>86</v>
      </c>
      <c r="H12" s="6"/>
    </row>
    <row r="13" customFormat="false" ht="23.85" hidden="false" customHeight="false" outlineLevel="0" collapsed="false">
      <c r="A13" s="6" t="n">
        <v>12</v>
      </c>
      <c r="B13" s="6" t="s">
        <v>69</v>
      </c>
      <c r="C13" s="6" t="s">
        <v>87</v>
      </c>
      <c r="D13" s="6" t="s">
        <v>88</v>
      </c>
      <c r="E13" s="6" t="s">
        <v>44</v>
      </c>
      <c r="F13" s="6" t="s">
        <v>89</v>
      </c>
      <c r="G13" s="6" t="s">
        <v>90</v>
      </c>
      <c r="H13" s="6"/>
    </row>
    <row r="14" customFormat="false" ht="68.65" hidden="false" customHeight="false" outlineLevel="0" collapsed="false">
      <c r="A14" s="6" t="n">
        <v>13</v>
      </c>
      <c r="B14" s="6" t="s">
        <v>69</v>
      </c>
      <c r="C14" s="6" t="s">
        <v>91</v>
      </c>
      <c r="D14" s="6" t="s">
        <v>92</v>
      </c>
      <c r="E14" s="6" t="s">
        <v>44</v>
      </c>
      <c r="F14" s="6" t="s">
        <v>93</v>
      </c>
      <c r="G14" s="6" t="s">
        <v>94</v>
      </c>
      <c r="H14" s="6"/>
    </row>
    <row r="15" customFormat="false" ht="35.05" hidden="false" customHeight="false" outlineLevel="0" collapsed="false">
      <c r="A15" s="6" t="n">
        <v>14</v>
      </c>
      <c r="B15" s="6" t="s">
        <v>95</v>
      </c>
      <c r="C15" s="6" t="s">
        <v>96</v>
      </c>
      <c r="D15" s="6" t="s">
        <v>97</v>
      </c>
      <c r="E15" s="6" t="s">
        <v>72</v>
      </c>
      <c r="F15" s="6" t="s">
        <v>98</v>
      </c>
      <c r="G15" s="6" t="s">
        <v>99</v>
      </c>
      <c r="H15" s="6"/>
    </row>
    <row r="16" customFormat="false" ht="35.05" hidden="false" customHeight="false" outlineLevel="0" collapsed="false">
      <c r="A16" s="6" t="n">
        <v>15</v>
      </c>
      <c r="B16" s="6" t="s">
        <v>95</v>
      </c>
      <c r="C16" s="6" t="s">
        <v>100</v>
      </c>
      <c r="D16" s="6" t="s">
        <v>101</v>
      </c>
      <c r="E16" s="6" t="s">
        <v>72</v>
      </c>
      <c r="F16" s="6" t="s">
        <v>102</v>
      </c>
      <c r="G16" s="6" t="s">
        <v>103</v>
      </c>
      <c r="H16" s="6"/>
    </row>
    <row r="17" customFormat="false" ht="23.85" hidden="false" customHeight="false" outlineLevel="0" collapsed="false">
      <c r="A17" s="6" t="n">
        <v>16</v>
      </c>
      <c r="B17" s="6" t="s">
        <v>95</v>
      </c>
      <c r="C17" s="6" t="s">
        <v>104</v>
      </c>
      <c r="D17" s="6" t="s">
        <v>105</v>
      </c>
      <c r="E17" s="6" t="s">
        <v>72</v>
      </c>
      <c r="F17" s="6" t="s">
        <v>106</v>
      </c>
      <c r="G17" s="6" t="s">
        <v>107</v>
      </c>
      <c r="H17" s="6"/>
    </row>
    <row r="18" customFormat="false" ht="35.05" hidden="false" customHeight="false" outlineLevel="0" collapsed="false">
      <c r="A18" s="6" t="n">
        <v>17</v>
      </c>
      <c r="B18" s="6" t="s">
        <v>95</v>
      </c>
      <c r="C18" s="6" t="s">
        <v>108</v>
      </c>
      <c r="D18" s="6" t="s">
        <v>109</v>
      </c>
      <c r="E18" s="6" t="s">
        <v>72</v>
      </c>
      <c r="F18" s="6" t="s">
        <v>110</v>
      </c>
      <c r="G18" s="6" t="s">
        <v>111</v>
      </c>
      <c r="H18" s="6"/>
    </row>
    <row r="19" customFormat="false" ht="35.05" hidden="false" customHeight="false" outlineLevel="0" collapsed="false">
      <c r="A19" s="6" t="n">
        <v>18</v>
      </c>
      <c r="B19" s="6" t="s">
        <v>95</v>
      </c>
      <c r="C19" s="6" t="s">
        <v>112</v>
      </c>
      <c r="D19" s="6" t="s">
        <v>113</v>
      </c>
      <c r="E19" s="6" t="s">
        <v>72</v>
      </c>
      <c r="F19" s="6" t="s">
        <v>114</v>
      </c>
      <c r="G19" s="6" t="s">
        <v>115</v>
      </c>
      <c r="H19" s="6"/>
    </row>
    <row r="20" customFormat="false" ht="35.05" hidden="false" customHeight="false" outlineLevel="0" collapsed="false">
      <c r="A20" s="6" t="n">
        <v>19</v>
      </c>
      <c r="B20" s="6" t="s">
        <v>95</v>
      </c>
      <c r="C20" s="6" t="s">
        <v>116</v>
      </c>
      <c r="D20" s="6" t="s">
        <v>117</v>
      </c>
      <c r="E20" s="6" t="s">
        <v>44</v>
      </c>
      <c r="F20" s="6" t="s">
        <v>118</v>
      </c>
      <c r="G20" s="6" t="s">
        <v>119</v>
      </c>
      <c r="H20" s="6"/>
    </row>
    <row r="21" customFormat="false" ht="35.05" hidden="false" customHeight="false" outlineLevel="0" collapsed="false">
      <c r="A21" s="6" t="n">
        <v>20</v>
      </c>
      <c r="B21" s="6" t="s">
        <v>95</v>
      </c>
      <c r="C21" s="6" t="s">
        <v>120</v>
      </c>
      <c r="D21" s="6" t="s">
        <v>121</v>
      </c>
      <c r="E21" s="6" t="s">
        <v>44</v>
      </c>
      <c r="F21" s="6" t="s">
        <v>122</v>
      </c>
      <c r="G21" s="6" t="s">
        <v>123</v>
      </c>
      <c r="H21" s="6"/>
    </row>
    <row r="22" customFormat="false" ht="23.85" hidden="false" customHeight="false" outlineLevel="0" collapsed="false">
      <c r="A22" s="6" t="n">
        <v>21</v>
      </c>
      <c r="B22" s="6" t="s">
        <v>95</v>
      </c>
      <c r="C22" s="6" t="s">
        <v>124</v>
      </c>
      <c r="D22" s="6" t="s">
        <v>125</v>
      </c>
      <c r="E22" s="6" t="s">
        <v>44</v>
      </c>
      <c r="F22" s="6" t="s">
        <v>126</v>
      </c>
      <c r="G22" s="6" t="s">
        <v>127</v>
      </c>
      <c r="H22" s="6"/>
    </row>
    <row r="23" customFormat="false" ht="23.85" hidden="false" customHeight="false" outlineLevel="0" collapsed="false">
      <c r="A23" s="6" t="n">
        <v>22</v>
      </c>
      <c r="B23" s="6" t="s">
        <v>95</v>
      </c>
      <c r="C23" s="6" t="s">
        <v>128</v>
      </c>
      <c r="D23" s="6" t="s">
        <v>129</v>
      </c>
      <c r="E23" s="6" t="s">
        <v>72</v>
      </c>
      <c r="F23" s="6" t="s">
        <v>130</v>
      </c>
      <c r="G23" s="6" t="s">
        <v>131</v>
      </c>
      <c r="H23" s="6"/>
    </row>
    <row r="24" customFormat="false" ht="23.85" hidden="false" customHeight="false" outlineLevel="0" collapsed="false">
      <c r="A24" s="6" t="n">
        <v>23</v>
      </c>
      <c r="B24" s="6" t="s">
        <v>95</v>
      </c>
      <c r="C24" s="6" t="s">
        <v>132</v>
      </c>
      <c r="D24" s="6" t="s">
        <v>133</v>
      </c>
      <c r="E24" s="6" t="s">
        <v>44</v>
      </c>
      <c r="F24" s="6" t="s">
        <v>134</v>
      </c>
      <c r="G24" s="6" t="s">
        <v>135</v>
      </c>
      <c r="H24" s="6"/>
    </row>
    <row r="25" customFormat="false" ht="23.85" hidden="false" customHeight="false" outlineLevel="0" collapsed="false">
      <c r="A25" s="6" t="n">
        <v>24</v>
      </c>
      <c r="B25" s="6" t="s">
        <v>95</v>
      </c>
      <c r="C25" s="6" t="s">
        <v>136</v>
      </c>
      <c r="D25" s="6" t="s">
        <v>137</v>
      </c>
      <c r="E25" s="6" t="s">
        <v>44</v>
      </c>
      <c r="F25" s="6" t="s">
        <v>138</v>
      </c>
      <c r="G25" s="6" t="s">
        <v>131</v>
      </c>
      <c r="H25" s="6"/>
    </row>
    <row r="26" customFormat="false" ht="46.25" hidden="false" customHeight="false" outlineLevel="0" collapsed="false">
      <c r="A26" s="6" t="n">
        <v>25</v>
      </c>
      <c r="B26" s="6" t="s">
        <v>95</v>
      </c>
      <c r="C26" s="6" t="s">
        <v>139</v>
      </c>
      <c r="D26" s="6" t="s">
        <v>140</v>
      </c>
      <c r="E26" s="6" t="s">
        <v>72</v>
      </c>
      <c r="F26" s="6" t="s">
        <v>141</v>
      </c>
      <c r="G26" s="6" t="s">
        <v>142</v>
      </c>
      <c r="H26" s="6"/>
    </row>
    <row r="27" customFormat="false" ht="46.25" hidden="false" customHeight="false" outlineLevel="0" collapsed="false">
      <c r="A27" s="6" t="n">
        <v>26</v>
      </c>
      <c r="B27" s="6" t="s">
        <v>95</v>
      </c>
      <c r="C27" s="6" t="s">
        <v>143</v>
      </c>
      <c r="D27" s="6" t="s">
        <v>144</v>
      </c>
      <c r="E27" s="6" t="s">
        <v>72</v>
      </c>
      <c r="F27" s="6" t="s">
        <v>145</v>
      </c>
      <c r="G27" s="6" t="s">
        <v>146</v>
      </c>
      <c r="H27" s="6"/>
    </row>
    <row r="28" customFormat="false" ht="35.05" hidden="false" customHeight="false" outlineLevel="0" collapsed="false">
      <c r="A28" s="6" t="n">
        <v>27</v>
      </c>
      <c r="B28" s="6" t="s">
        <v>95</v>
      </c>
      <c r="C28" s="6" t="s">
        <v>147</v>
      </c>
      <c r="D28" s="6" t="s">
        <v>148</v>
      </c>
      <c r="E28" s="6" t="s">
        <v>44</v>
      </c>
      <c r="F28" s="6" t="s">
        <v>149</v>
      </c>
      <c r="G28" s="6" t="s">
        <v>150</v>
      </c>
      <c r="H28" s="6"/>
    </row>
    <row r="29" customFormat="false" ht="23.85" hidden="false" customHeight="false" outlineLevel="0" collapsed="false">
      <c r="A29" s="6" t="n">
        <v>28</v>
      </c>
      <c r="B29" s="6" t="s">
        <v>95</v>
      </c>
      <c r="C29" s="6" t="s">
        <v>151</v>
      </c>
      <c r="D29" s="6" t="s">
        <v>152</v>
      </c>
      <c r="E29" s="6" t="s">
        <v>44</v>
      </c>
      <c r="F29" s="6" t="s">
        <v>153</v>
      </c>
      <c r="G29" s="6" t="s">
        <v>154</v>
      </c>
      <c r="H29" s="6"/>
    </row>
  </sheetData>
  <autoFilter ref="A1:H29"/>
  <conditionalFormatting sqref="E2:E79">
    <cfRule type="cellIs" priority="2" operator="equal" aboveAverage="0" equalAverage="0" bottom="0" percent="0" rank="0" text="" dxfId="6">
      <formula>"schwer"</formula>
    </cfRule>
    <cfRule type="cellIs" priority="3" operator="equal" aboveAverage="0" equalAverage="0" bottom="0" percent="0" rank="0" text="" dxfId="7">
      <formula>"mittel"</formula>
    </cfRule>
    <cfRule type="cellIs" priority="4" operator="equal" aboveAverage="0" equalAverage="0" bottom="0" percent="0" rank="0" text="" dxfId="8">
      <formula>"gering"</formula>
    </cfRule>
  </conditionalFormatting>
  <dataValidations count="3">
    <dataValidation allowBlank="false" errorStyle="stop" operator="between" showDropDown="false" showErrorMessage="false" showInputMessage="false" sqref="E2:E79" type="list">
      <formula1>"schwer,mittel,gering"</formula1>
      <formula2>0</formula2>
    </dataValidation>
    <dataValidation allowBlank="false" errorStyle="stop" operator="between" showDropDown="false" showErrorMessage="false" showInputMessage="false" sqref="B2:B79" type="list">
      <formula1>"0,A,B,C,D"</formula1>
      <formula2>0</formula2>
    </dataValidation>
    <dataValidation allowBlank="false" errorStyle="stop" operator="between" showDropDown="false" showErrorMessage="false" showInputMessage="false" sqref="H2:H79" type="list">
      <formula1>"offen,in Prompt V3 überarbeitet,behoben im Folgelauf,nicht übernommen"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36"/>
    <col collapsed="false" customWidth="true" hidden="false" outlineLevel="0" max="6" min="3" style="1" width="12"/>
  </cols>
  <sheetData>
    <row r="1" customFormat="false" ht="15" hidden="false" customHeight="true" outlineLevel="0" collapsed="false">
      <c r="A1" s="7" t="s">
        <v>155</v>
      </c>
    </row>
    <row r="3" customFormat="false" ht="15" hidden="false" customHeight="true" outlineLevel="0" collapsed="false">
      <c r="A3" s="5" t="s">
        <v>29</v>
      </c>
      <c r="B3" s="5" t="s">
        <v>156</v>
      </c>
      <c r="C3" s="5" t="s">
        <v>39</v>
      </c>
      <c r="D3" s="5" t="s">
        <v>72</v>
      </c>
      <c r="E3" s="5" t="s">
        <v>44</v>
      </c>
      <c r="F3" s="5" t="s">
        <v>157</v>
      </c>
    </row>
    <row r="4" customFormat="false" ht="15" hidden="false" customHeight="true" outlineLevel="0" collapsed="false">
      <c r="A4" s="8" t="s">
        <v>36</v>
      </c>
      <c r="B4" s="8" t="s">
        <v>158</v>
      </c>
      <c r="C4" s="8" t="n">
        <f aca="false">COUNTIFS(Befunde!$B$2:$B$500,$A4,Befunde!$E$2:$E$500,C$3)</f>
        <v>1</v>
      </c>
      <c r="D4" s="8" t="n">
        <f aca="false">COUNTIFS(Befunde!$B$2:$B$500,$A4,Befunde!$E$2:$E$500,D$3)</f>
        <v>0</v>
      </c>
      <c r="E4" s="8" t="n">
        <f aca="false">COUNTIFS(Befunde!$B$2:$B$500,$A4,Befunde!$E$2:$E$500,E$3)</f>
        <v>2</v>
      </c>
      <c r="F4" s="8" t="n">
        <f aca="false">SUM(C4:E4)</f>
        <v>3</v>
      </c>
    </row>
    <row r="5" customFormat="false" ht="15" hidden="false" customHeight="true" outlineLevel="0" collapsed="false">
      <c r="A5" s="8" t="s">
        <v>51</v>
      </c>
      <c r="B5" s="8" t="s">
        <v>159</v>
      </c>
      <c r="C5" s="8" t="n">
        <f aca="false">COUNTIFS(Befunde!$B$2:$B$500,$A5,Befunde!$E$2:$E$500,C$3)</f>
        <v>2</v>
      </c>
      <c r="D5" s="8" t="n">
        <f aca="false">COUNTIFS(Befunde!$B$2:$B$500,$A5,Befunde!$E$2:$E$500,D$3)</f>
        <v>0</v>
      </c>
      <c r="E5" s="8" t="n">
        <f aca="false">COUNTIFS(Befunde!$B$2:$B$500,$A5,Befunde!$E$2:$E$500,E$3)</f>
        <v>0</v>
      </c>
      <c r="F5" s="8" t="n">
        <f aca="false">SUM(C5:E5)</f>
        <v>2</v>
      </c>
    </row>
    <row r="6" customFormat="false" ht="15" hidden="false" customHeight="true" outlineLevel="0" collapsed="false">
      <c r="A6" s="8" t="s">
        <v>60</v>
      </c>
      <c r="B6" s="8" t="s">
        <v>160</v>
      </c>
      <c r="C6" s="8" t="n">
        <f aca="false">COUNTIFS(Befunde!$B$2:$B$500,$A6,Befunde!$E$2:$E$500,C$3)</f>
        <v>0</v>
      </c>
      <c r="D6" s="8" t="n">
        <f aca="false">COUNTIFS(Befunde!$B$2:$B$500,$A6,Befunde!$E$2:$E$500,D$3)</f>
        <v>0</v>
      </c>
      <c r="E6" s="8" t="n">
        <f aca="false">COUNTIFS(Befunde!$B$2:$B$500,$A6,Befunde!$E$2:$E$500,E$3)</f>
        <v>2</v>
      </c>
      <c r="F6" s="8" t="n">
        <f aca="false">SUM(C6:E6)</f>
        <v>2</v>
      </c>
    </row>
    <row r="7" customFormat="false" ht="15" hidden="false" customHeight="true" outlineLevel="0" collapsed="false">
      <c r="A7" s="8" t="s">
        <v>69</v>
      </c>
      <c r="B7" s="8" t="s">
        <v>161</v>
      </c>
      <c r="C7" s="8" t="n">
        <f aca="false">COUNTIFS(Befunde!$B$2:$B$500,$A7,Befunde!$E$2:$E$500,C$3)</f>
        <v>0</v>
      </c>
      <c r="D7" s="8" t="n">
        <f aca="false">COUNTIFS(Befunde!$B$2:$B$500,$A7,Befunde!$E$2:$E$500,D$3)</f>
        <v>3</v>
      </c>
      <c r="E7" s="8" t="n">
        <f aca="false">COUNTIFS(Befunde!$B$2:$B$500,$A7,Befunde!$E$2:$E$500,E$3)</f>
        <v>3</v>
      </c>
      <c r="F7" s="8" t="n">
        <f aca="false">SUM(C7:E7)</f>
        <v>6</v>
      </c>
    </row>
    <row r="8" customFormat="false" ht="15" hidden="false" customHeight="true" outlineLevel="0" collapsed="false">
      <c r="A8" s="8" t="s">
        <v>95</v>
      </c>
      <c r="B8" s="8" t="s">
        <v>162</v>
      </c>
      <c r="C8" s="8" t="n">
        <f aca="false">COUNTIFS(Befunde!$B$2:$B$500,$A8,Befunde!$E$2:$E$500,C$3)</f>
        <v>0</v>
      </c>
      <c r="D8" s="8" t="n">
        <f aca="false">COUNTIFS(Befunde!$B$2:$B$500,$A8,Befunde!$E$2:$E$500,D$3)</f>
        <v>8</v>
      </c>
      <c r="E8" s="8" t="n">
        <f aca="false">COUNTIFS(Befunde!$B$2:$B$500,$A8,Befunde!$E$2:$E$500,E$3)</f>
        <v>7</v>
      </c>
      <c r="F8" s="8" t="n">
        <f aca="false">SUM(C8:E8)</f>
        <v>15</v>
      </c>
    </row>
    <row r="9" customFormat="false" ht="15" hidden="false" customHeight="true" outlineLevel="0" collapsed="false">
      <c r="A9" s="9" t="s">
        <v>157</v>
      </c>
      <c r="B9" s="9"/>
      <c r="C9" s="9" t="n">
        <f aca="false">SUM(C4:C8)</f>
        <v>3</v>
      </c>
      <c r="D9" s="9" t="n">
        <f aca="false">SUM(D4:D8)</f>
        <v>11</v>
      </c>
      <c r="E9" s="9" t="n">
        <f aca="false">SUM(E4:E8)</f>
        <v>14</v>
      </c>
      <c r="F9" s="9" t="n">
        <f aca="false">SUM(F4:F8)</f>
        <v>28</v>
      </c>
    </row>
    <row r="11" customFormat="false" ht="15" hidden="false" customHeight="true" outlineLevel="0" collapsed="false">
      <c r="A11" s="7" t="s">
        <v>163</v>
      </c>
    </row>
    <row r="12" customFormat="false" ht="15" hidden="false" customHeight="true" outlineLevel="0" collapsed="false">
      <c r="A12" s="6" t="s">
        <v>164</v>
      </c>
      <c r="B12" s="8" t="n">
        <f aca="false">'Lauf-Info'!B11</f>
        <v>47</v>
      </c>
    </row>
    <row r="13" customFormat="false" ht="15" hidden="false" customHeight="true" outlineLevel="0" collapsed="false">
      <c r="A13" s="6" t="s">
        <v>165</v>
      </c>
      <c r="B13" s="8" t="n">
        <f aca="false">'Lauf-Info'!B13</f>
        <v>7</v>
      </c>
    </row>
    <row r="14" customFormat="false" ht="15" hidden="false" customHeight="true" outlineLevel="0" collapsed="false">
      <c r="A14" s="6" t="s">
        <v>166</v>
      </c>
      <c r="B14" s="8" t="n">
        <f aca="false">F9</f>
        <v>28</v>
      </c>
    </row>
    <row r="15" customFormat="false" ht="15" hidden="false" customHeight="true" outlineLevel="0" collapsed="false">
      <c r="A15" s="6" t="s">
        <v>167</v>
      </c>
      <c r="B15" s="10" t="n">
        <f aca="false">IFERROR(F9/B12,0)</f>
        <v>0.595744680851064</v>
      </c>
    </row>
    <row r="16" customFormat="false" ht="30" hidden="false" customHeight="true" outlineLevel="0" collapsed="false">
      <c r="A16" s="6" t="s">
        <v>168</v>
      </c>
      <c r="B16" s="11" t="n">
        <v>3</v>
      </c>
      <c r="C16" s="12" t="s">
        <v>169</v>
      </c>
      <c r="D16" s="12"/>
      <c r="E16" s="12"/>
      <c r="F16" s="12"/>
    </row>
    <row r="17" customFormat="false" ht="23.25" hidden="false" customHeight="true" outlineLevel="0" collapsed="false">
      <c r="A17" s="6" t="s">
        <v>170</v>
      </c>
      <c r="B17" s="13" t="n">
        <f aca="false">IFERROR(B16/B13,0)</f>
        <v>0.428571428571429</v>
      </c>
    </row>
    <row r="18" customFormat="false" ht="15" hidden="false" customHeight="true" outlineLevel="0" collapsed="false">
      <c r="A18" s="6" t="s">
        <v>171</v>
      </c>
      <c r="B18" s="8" t="n">
        <f aca="false">COUNTIF(Befunde!$H$2:$H$500,"offen")</f>
        <v>0</v>
      </c>
    </row>
  </sheetData>
  <mergeCells count="1">
    <mergeCell ref="C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70"/>
  </cols>
  <sheetData>
    <row r="1" customFormat="false" ht="15" hidden="false" customHeight="true" outlineLevel="0" collapsed="false">
      <c r="A1" s="5" t="s">
        <v>172</v>
      </c>
      <c r="B1" s="5" t="s">
        <v>173</v>
      </c>
      <c r="C1" s="5" t="s">
        <v>174</v>
      </c>
    </row>
    <row r="2" customFormat="false" ht="23.25" hidden="false" customHeight="true" outlineLevel="0" collapsed="false">
      <c r="A2" s="6" t="s">
        <v>175</v>
      </c>
      <c r="B2" s="6" t="s">
        <v>176</v>
      </c>
      <c r="C2" s="6" t="s">
        <v>177</v>
      </c>
    </row>
    <row r="3" customFormat="false" ht="15" hidden="false" customHeight="true" outlineLevel="0" collapsed="false">
      <c r="A3" s="6" t="s">
        <v>178</v>
      </c>
      <c r="B3" s="6" t="s">
        <v>179</v>
      </c>
      <c r="C3" s="6"/>
    </row>
    <row r="4" customFormat="false" ht="23.25" hidden="false" customHeight="true" outlineLevel="0" collapsed="false">
      <c r="A4" s="6" t="s">
        <v>180</v>
      </c>
      <c r="B4" s="6" t="s">
        <v>179</v>
      </c>
      <c r="C4" s="6"/>
    </row>
    <row r="5" customFormat="false" ht="15" hidden="false" customHeight="true" outlineLevel="0" collapsed="false">
      <c r="A5" s="6" t="s">
        <v>181</v>
      </c>
      <c r="B5" s="6" t="s">
        <v>179</v>
      </c>
      <c r="C5" s="6"/>
    </row>
    <row r="6" customFormat="false" ht="15" hidden="false" customHeight="true" outlineLevel="0" collapsed="false">
      <c r="A6" s="6" t="s">
        <v>182</v>
      </c>
      <c r="B6" s="6" t="s">
        <v>179</v>
      </c>
      <c r="C6" s="6"/>
    </row>
    <row r="7" customFormat="false" ht="15" hidden="false" customHeight="true" outlineLevel="0" collapsed="false">
      <c r="A7" s="6" t="s">
        <v>183</v>
      </c>
      <c r="B7" s="6" t="s">
        <v>179</v>
      </c>
      <c r="C7" s="6"/>
    </row>
    <row r="8" customFormat="false" ht="15" hidden="false" customHeight="true" outlineLevel="0" collapsed="false">
      <c r="A8" s="6" t="s">
        <v>184</v>
      </c>
      <c r="B8" s="6" t="s">
        <v>179</v>
      </c>
      <c r="C8" s="6"/>
    </row>
    <row r="9" customFormat="false" ht="15" hidden="false" customHeight="true" outlineLevel="0" collapsed="false">
      <c r="A9" s="6" t="s">
        <v>185</v>
      </c>
      <c r="B9" s="6" t="s">
        <v>179</v>
      </c>
      <c r="C9" s="6" t="s">
        <v>186</v>
      </c>
    </row>
    <row r="10" customFormat="false" ht="15" hidden="false" customHeight="true" outlineLevel="0" collapsed="false">
      <c r="A10" s="6"/>
      <c r="B10" s="6"/>
      <c r="C10" s="6"/>
    </row>
    <row r="11" customFormat="false" ht="23.25" hidden="false" customHeight="true" outlineLevel="0" collapsed="false">
      <c r="A11" s="6"/>
      <c r="B11" s="6"/>
      <c r="C11"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2026-10-16T11:21:06Z</dcterms:created>
  <dc:creator>openpyxl</dc:creator>
  <dc:description/>
  <dc:language>en-US</dc:language>
  <cp:lastModifiedBy/>
  <dcterms:modified xsi:type="dcterms:W3CDTF">2026-10-16T12:55:35Z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