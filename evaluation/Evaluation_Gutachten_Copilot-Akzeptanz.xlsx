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uf-Info" sheetId="1" state="visible" r:id="rId3"/>
    <sheet name="Befunde" sheetId="2" state="visible" r:id="rId4"/>
    <sheet name="Übersicht" sheetId="3" state="visible" r:id="rId5"/>
    <sheet name="Nicht geprüft" sheetId="4" state="visible" r:id="rId6"/>
  </sheets>
  <definedNames>
    <definedName function="false" hidden="true" localSheetId="1" name="_xlnm._FilterDatabase" vbProcedure="false">Befunde!$A$1:$H$29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<sst xmlns="http://schemas.openxmlformats.org/spreadsheetml/2006/main" count="178" uniqueCount="140">
  <si>
    <t xml:space="preserve">Evaluationsdatei – Fragebogenlauf</t>
  </si>
  <si>
    <t xml:space="preserve">Lauf</t>
  </si>
  <si>
    <t xml:space="preserve">Fragebogen Copilot-Akzeptanz – Ausführung Master-Prompt</t>
  </si>
  <si>
    <t xml:space="preserve">Geprüfte Datei</t>
  </si>
  <si>
    <t xml:space="preserve">Fragebogen_Copilot-Akzeptanz___Ausf_hrung_Master-Prompt.docx</t>
  </si>
  <si>
    <t xml:space="preserve">Zugrunde liegender Prompt</t>
  </si>
  <si>
    <t xml:space="preserve">nicht im Gutachten angegeben</t>
  </si>
  <si>
    <t xml:space="preserve">Fall</t>
  </si>
  <si>
    <t xml:space="preserve">Microsoft Copilot · Beschäftigte ohne KI-Fachausbildung · vor der Einführung · Akzeptanz der geplanten Nutzung</t>
  </si>
  <si>
    <t xml:space="preserve">Prüfende Instanz</t>
  </si>
  <si>
    <t xml:space="preserve">Claude (unabhängige Gutachterrolle, Prüfprompt mit Kriterien 0–D)</t>
  </si>
  <si>
    <t xml:space="preserve">Prüfdatum</t>
  </si>
  <si>
    <t xml:space="preserve">15.10.2026</t>
  </si>
  <si>
    <t xml:space="preserve">Prüfgrundlage</t>
  </si>
  <si>
    <t xml:space="preserve">Fragebogen (Tabellen A, B1–B3, C, Hinweise, Quellen), Katalog D1, P2, P4 und S2; für die verworfenen Alternativen in Tabelle A zusätzlich S1a stichprobenartig</t>
  </si>
  <si>
    <t xml:space="preserve">Prüfkriterien</t>
  </si>
  <si>
    <t xml:space="preserve">0 Quellenechtheit · A Theorievermischung · B Double-Barreled · C Suggestivität/Verständlichkeit · D Fehlende Quellenangaben</t>
  </si>
  <si>
    <t xml:space="preserve">Schweregrade</t>
  </si>
  <si>
    <t xml:space="preserve">schwer = misst nicht, was es messen soll (immer bei 0-Erfindung und A) · mittel = Validität/Nachvollziehbarkeit eingeschränkt · gering = formale/sprachliche Unschärfe</t>
  </si>
  <si>
    <t xml:space="preserve">Geprüfte Items (Anzahl)</t>
  </si>
  <si>
    <t xml:space="preserve">Itemverteilung</t>
  </si>
  <si>
    <t xml:space="preserve">B1 (P4): 16 · B2 (P2): 15 · B3 (S2): 5</t>
  </si>
  <si>
    <t xml:space="preserve">Geprüfte Hypothesen (Anzahl)</t>
  </si>
  <si>
    <t xml:space="preserve">Wichtigste Schwäche</t>
  </si>
  <si>
    <t xml:space="preserve">Das Konstrukt „Benevolence“: Seine Items messen Unheimlichkeit, werden ohne Beleg in der Quelle umgepolt und tragen trotzdem H2.</t>
  </si>
  <si>
    <t xml:space="preserve">Abgeleitete Prompt-Regel</t>
  </si>
  <si>
    <t xml:space="preserve">Ein Konstrukt wird nur übernommen, wenn Itemwortlaut und Konstruktdefinition übereinstimmen. Weicht die Operationalisierung der Quelle von der Theorie ab, muss das Konstrukt nach dem Iteminhalt benannt und jede nicht belegte Umpolung gekennzeichnet werden.</t>
  </si>
  <si>
    <t xml:space="preserve">Umsetzung im Prompt</t>
  </si>
  <si>
    <t xml:space="preserve">nicht Gegenstand des Gutachtens</t>
  </si>
  <si>
    <t xml:space="preserve">Nr.</t>
  </si>
  <si>
    <t xml:space="preserve">Kriterium</t>
  </si>
  <si>
    <t xml:space="preserve">Fundstelle (Item-ID)</t>
  </si>
  <si>
    <t xml:space="preserve">Befund</t>
  </si>
  <si>
    <t xml:space="preserve">Schwere</t>
  </si>
  <si>
    <t xml:space="preserve">Korrekturvorschlag</t>
  </si>
  <si>
    <t xml:space="preserve">Beleg</t>
  </si>
  <si>
    <t xml:space="preserve">Status Prompt-Revision</t>
  </si>
  <si>
    <t xml:space="preserve">A</t>
  </si>
  <si>
    <t xml:space="preserve">D1-Q4-U1–U3, H2, Tab. A (Benevolence)</t>
  </si>
  <si>
    <t xml:space="preserve">Die Items messen Unheimlichkeit nach MacDorman und Ishiguro (2006), nicht Benevolence im Sinne von Mayer et al. Die „Definition“ in Tab. A ist nur eine Operationalisierung. Die Umpolung (R) ist in der Quelle nicht dokumentiert. In P4 ging Benevolence nur als Einzelindikator ins Endmodell ein; als Skala ist sie also nicht validiert. H2 baut auf diesen Items auf.</t>
  </si>
  <si>
    <t xml:space="preserve">schwer</t>
  </si>
  <si>
    <t xml:space="preserve">Items unverändert lassen. Das Konstrukt als „wahrgenommene Unheimlichkeit (bei Do Khac et al., 2025, als Benevolence operationalisiert)“ benennen. H2 als Hypothese über die Unheimlichkeit formulieren: „Je geringer die wahrgenommene Unheimlichkeit, desto höher das Vertrauen.“ Die Polung als eigene Entscheidung kennzeichnen.</t>
  </si>
  <si>
    <t xml:space="preserve">P4, S. 8 (MacDorman &amp; Ishiguro), S. 10 (Mittelwerte ohne Angabe zur Polung), S. 17 (single measures)</t>
  </si>
  <si>
    <t xml:space="preserve">C</t>
  </si>
  <si>
    <t xml:space="preserve">D1-Q4-T1, T3, I1–I3</t>
  </si>
  <si>
    <t xml:space="preserve">Die Items setzen eine Entscheidungsbefugnis über Unternehmensprozesse voraus, die Beschäftigte meist nicht haben. Für T1 und T3 ist das in Hinweis 4 vermerkt, für I1–I3 („in unseren Unternehmensprozessen einsetzen“) nicht.</t>
  </si>
  <si>
    <t xml:space="preserve">mittel</t>
  </si>
  <si>
    <t xml:space="preserve">Den Wortlaut beibehalten und I1–I3 in Hinweis 4 aufnehmen; im Pretest prüfen. Die P2-Intention-Items nicht ersatzweise für H4 nutzen, weil das Theorien vermischen würde.</t>
  </si>
  <si>
    <t xml:space="preserve">P4, S. 8 (Stichprobe: Führungskräfte); [eigene Bewertung]</t>
  </si>
  <si>
    <t xml:space="preserve">Vorbemerkung Tab. B, Block B1</t>
  </si>
  <si>
    <t xml:space="preserve">Die Copilot-Beschreibung steht erst vor B2. B1 fragt aber schon nach Copilot. Ohne neutrale Beschreibung des Gegenstands bleiben z. B. X1–X3 und T4 unklar.</t>
  </si>
  <si>
    <t xml:space="preserve">Die Beschreibung vor B1 platzieren. Den Hinweis aus P2 („Think about the previously described situation“) als Instruktion vor B2 beibehalten.</t>
  </si>
  <si>
    <t xml:space="preserve">P2, S. 965 (Szenario vor dem Fragebogen)</t>
  </si>
  <si>
    <t xml:space="preserve">D</t>
  </si>
  <si>
    <t xml:space="preserve">B3 („unverändert“) vs. Hinweis 3; Adaptionsspalten B1/B2</t>
  </si>
  <si>
    <t xml:space="preserve">Laut B3 gibt es keine Adaption, laut Hinweis 3 wird von 0–10 auf 1–5 umgestellt und „kann ich nicht beurteilen“ ergänzt. Die Angaben widersprechen sich. Die Skalenänderung fehlt in allen Adaptionsspalten und ist nicht mit einer Quelle begründet.</t>
  </si>
  <si>
    <t xml:space="preserve">Bei jedem Item den Code für die Skalenänderung ergänzen, z. B. „S: 0–10 → 1–5 + k. A.“. Zur Begründung S2 heranziehen: Dort wird angeregt, andere Skalierungen zu prüfen. Die Änderung als nicht validiert kennzeichnen. Alternative: ATAI mit 0–10 beibehalten.</t>
  </si>
  <si>
    <t xml:space="preserve">S2, S. 112; P2, S. 965 (7-stufig)</t>
  </si>
  <si>
    <t xml:space="preserve">D1-Q2-3(1), 3(2)</t>
  </si>
  <si>
    <t xml:space="preserve">Freundinnen, Freunde und Familie als Bezugsgruppe passen zum Konsumkontext von P2. Beim betrieblichen Copilot kennen sie das Tool vermutlich nicht, deshalb sind viele „kann ich nicht beurteilen“-Antworten zu erwarten.</t>
  </si>
  <si>
    <t xml:space="preserve">Die Originalitems behalten; neue Bezugsgruppen wären erfundene Items (Kriterium 0). Im Pretest den Anteil fehlender Werte prüfen. Ist er hoch, die Items dokumentiert streichen und mit 3(3) und 3(4) weiterarbeiten.</t>
  </si>
  <si>
    <t xml:space="preserve">D1-Q2; P2, S. 965; [eigene Bewertung]</t>
  </si>
  <si>
    <t xml:space="preserve">D1-Q4-D1 (final)</t>
  </si>
  <si>
    <t xml:space="preserve">„Ich bin sicher, dass …“ ist stärker als das Original „keine Bedenken“. Das verschiebt die Zustimmungsschwelle.</t>
  </si>
  <si>
    <t xml:space="preserve">gering</t>
  </si>
  <si>
    <t xml:space="preserve">„Ich gehe davon aus, dass Copilot die von uns eingegebenen unternehmensinternen Informationen nicht an Dritte weitergeben würde.“ (Code I, nicht validiert)</t>
  </si>
  <si>
    <t xml:space="preserve">D1-Q4-D1; [eigene Bewertung]</t>
  </si>
  <si>
    <t xml:space="preserve">D1-Q2-2(4) vs. D1-Q4-U3</t>
  </si>
  <si>
    <t xml:space="preserve">„enjoyable“ ist mit „angenehm“ übersetzt. U3 lautet „unangenehm“. Durch das gleiche Wortfeld in zwei Konstrukten steigt die Korrelation künstlich (analog zum „vertrauen“-Problem bei S2).</t>
  </si>
  <si>
    <t xml:space="preserve">„… erfreulich“ verwenden.</t>
  </si>
  <si>
    <t xml:space="preserve">S2, S. 113 (Überschneidung im Wortlaut); [eigene Bewertung]</t>
  </si>
  <si>
    <t xml:space="preserve">D1-Q2-1(3)</t>
  </si>
  <si>
    <t xml:space="preserve">Das Item steht im Konjunktiv („würde … nutzen“), 1(1) und 1(2) im Indikativ. Das widerspricht der eigenen Begründung (Absicht im Indikativ) und schwächt „will definitely“ ab.</t>
  </si>
  <si>
    <t xml:space="preserve">„Ich werde Copilot in Zukunft auf jeden Fall nutzen.“</t>
  </si>
  <si>
    <t xml:space="preserve">D1-Q2-1(3); Begründung bei D1-Q4-I1</t>
  </si>
  <si>
    <t xml:space="preserve">D1-Q2-4(4), 1(3)</t>
  </si>
  <si>
    <t xml:space="preserve">Die Verstärker „wirklich“ und „auf jeden Fall“ stammen aus dem Original („really“, „definitely“).</t>
  </si>
  <si>
    <t xml:space="preserve">Beibehalten: Die Skalen sind in P2 validiert (Ladungen &gt; 0,7).</t>
  </si>
  <si>
    <t xml:space="preserve">D1-Q2; P2, S. 966</t>
  </si>
  <si>
    <t xml:space="preserve">B</t>
  </si>
  <si>
    <t xml:space="preserve">D1-Q4-T3</t>
  </si>
  <si>
    <t xml:space="preserve">Zwei Bedingungen sind gekoppelt („unternehmenskritisch“ und „ohne Kontrollen“).</t>
  </si>
  <si>
    <t xml:space="preserve">Beibehalten: Der Kern „ohne Kontrolle“ entspricht der Vertrauensdefinition, und das Item ist validiert (Ladungen &gt; 0,7).</t>
  </si>
  <si>
    <t xml:space="preserve">P4, S. 4, 9</t>
  </si>
  <si>
    <t xml:space="preserve">D1-Q4-U2</t>
  </si>
  <si>
    <t xml:space="preserve">„unmenschlich“ kann auch moralisch verstanden werden. Das ist im Fragebogen bereits vermerkt.</t>
  </si>
  <si>
    <t xml:space="preserve">Das deutsche Original beibehalten und im Pretest prüfen, wie vorgesehen.</t>
  </si>
  <si>
    <t xml:space="preserve">Block B2 (alle Items)</t>
  </si>
  <si>
    <t xml:space="preserve">Alle Items sind gleich gepolt.</t>
  </si>
  <si>
    <t xml:space="preserve">Beibehalten: Die Originalskalen sind so validiert.</t>
  </si>
  <si>
    <t xml:space="preserve">P2, S. 965–966</t>
  </si>
  <si>
    <t xml:space="preserve">D1-Q2 (Code Ü)</t>
  </si>
  <si>
    <t xml:space="preserve">Die Übersetzung ist gekennzeichnet, das Übersetzungsverfahren aber nicht dokumentiert. Ob P2 eine deutsche Fassung genutzt hat, ist nicht in den Quellen enthalten.</t>
  </si>
  <si>
    <t xml:space="preserve">Das Verfahren dokumentieren, z. B. mit Rückübersetzung wie in S2, und als nicht validiert kennzeichnen.</t>
  </si>
  <si>
    <t xml:space="preserve">S2, S. 111</t>
  </si>
  <si>
    <t xml:space="preserve">Tab. C, H5–H7</t>
  </si>
  <si>
    <t xml:space="preserve">Die β-Werte stammen aus dem integrierten Modell von P2 (RAA + UTAUT2 + SET, 10 Hypothesen). Erhoben wird hier nur der RAA-Teil. Die Werte sind deshalb nur eingeschränkt vergleichbar; ein Hinweis darauf fehlt.</t>
  </si>
  <si>
    <t xml:space="preserve">Den Hinweis in Tab. C oder in den Auswertungshinweisen ergänzen.</t>
  </si>
  <si>
    <t xml:space="preserve">P2, S. 963, 966–967</t>
  </si>
  <si>
    <t xml:space="preserve">Tab. A, Intention (P4)</t>
  </si>
  <si>
    <t xml:space="preserve">Zugeschrieben wird „Ajzen &amp; Fishbein, 1975“. Im Literaturverzeichnis von P4 ist das „A Bayesian Analysis of Attribution Processes“, also keine Quelle zur Messung von Intention. Der Fragebogen übernimmt die Zuschreibung ungeprüft.</t>
  </si>
  <si>
    <t xml:space="preserve">„Intention to use (Do Khac et al., 2025, S. 8; dort Ajzen &amp; Fishbein, 1975, zugeschrieben)“ mit dem Vermerk [eigene Bewertung: Zuordnung der Referenz unklar].</t>
  </si>
  <si>
    <t xml:space="preserve">P4, S. 8 und Literaturverzeichnis</t>
  </si>
  <si>
    <t xml:space="preserve">Quellenverzeichnis</t>
  </si>
  <si>
    <t xml:space="preserve">Es fehlen Carolus et al. (2023), Paetow (2026) und Wichmann et al. (2024). P5 wird nur als „Ansatz aus P5“ zitiert, ohne Autorenangabe. Alle diese Quellen werden in Tab. A direkt bzw. als „zit. n.“-Primärquelle genannt.</t>
  </si>
  <si>
    <t xml:space="preserve">Die Einträge im APA-7-Format ergänzen, P5 mit Autorenangabe zitieren. Quellen, die nur als „zit. n.“ genannt werden (Mayer, Venkatesh u. a.), korrekterweise nicht aufnehmen.</t>
  </si>
  <si>
    <t xml:space="preserve">Tab. A</t>
  </si>
  <si>
    <t xml:space="preserve">ID-Schema vs. B3</t>
  </si>
  <si>
    <t xml:space="preserve">Das ID-Schema gilt nur für D1. Die IDs „S2-01“ bis „S2-05“ sind darin nicht definiert.</t>
  </si>
  <si>
    <t xml:space="preserve">Das Schema ergänzen: „S2-Nr. = Itemnummer in S2, Tabelle 1, S. 112“.</t>
  </si>
  <si>
    <t xml:space="preserve">S2, S. 112</t>
  </si>
  <si>
    <t xml:space="preserve">Befunde je Kriterium und Schwere (berechnet aus Blatt „Befunde“)</t>
  </si>
  <si>
    <t xml:space="preserve">Bezeichnung</t>
  </si>
  <si>
    <t xml:space="preserve">Summe</t>
  </si>
  <si>
    <t xml:space="preserve">0</t>
  </si>
  <si>
    <t xml:space="preserve">Quellenechtheit</t>
  </si>
  <si>
    <t xml:space="preserve">Theorievermischung</t>
  </si>
  <si>
    <t xml:space="preserve">Double-Barreled</t>
  </si>
  <si>
    <t xml:space="preserve">Suggestivität / Verständlichkeit</t>
  </si>
  <si>
    <t xml:space="preserve">Fehlende Quellenangaben</t>
  </si>
  <si>
    <t xml:space="preserve">Kennzahlen</t>
  </si>
  <si>
    <t xml:space="preserve">Geprüfte Items</t>
  </si>
  <si>
    <t xml:space="preserve">Geprüfte Hypothesen</t>
  </si>
  <si>
    <t xml:space="preserve">Befunde gesamt</t>
  </si>
  <si>
    <t xml:space="preserve">Befunde je Item</t>
  </si>
  <si>
    <t xml:space="preserve">Hypothesen mit A-Befund (schwer)</t>
  </si>
  <si>
    <t xml:space="preserve">Manuell gezählt: H2 (Befund Nr. 1).</t>
  </si>
  <si>
    <t xml:space="preserve">Anteil Hypothesen mit Theorievermischung/fehlendem Kriterium</t>
  </si>
  <si>
    <t xml:space="preserve">Offene Befunde (Status „offen“)</t>
  </si>
  <si>
    <t xml:space="preserve">Element</t>
  </si>
  <si>
    <t xml:space="preserve">Status</t>
  </si>
  <si>
    <t xml:space="preserve">Bemerkung</t>
  </si>
  <si>
    <t xml:space="preserve">Instruktions- bzw. Einleitungstext (mit Anonymitätshinweis)</t>
  </si>
  <si>
    <t xml:space="preserve">nicht vorhanden – nicht geprüft</t>
  </si>
  <si>
    <t xml:space="preserve">Kein Befund laut Prüfregel.</t>
  </si>
  <si>
    <t xml:space="preserve">Beschreibungstext zu Copilot</t>
  </si>
  <si>
    <t xml:space="preserve">Nur angekündigt. Kein Befund laut Prüfregel.</t>
  </si>
  <si>
    <t xml:space="preserve">Quellenechtheit (Kriterium 0), alle 36 Items</t>
  </si>
  <si>
    <t xml:space="preserve">geprüft – kein Befund</t>
  </si>
  <si>
    <t xml:space="preserve">Alle 31 D1-Items sind im Katalog vorhanden, wörtlich korrekt und demselben Konstrukt zugeordnet; die 5 ATAI-Items stimmen mit S2, Tabelle 1, S. 112 überein. Die geprüften Seitenangaben (P4: S. 4, 8, 11, 17; P2: S. 962–967; S2: S. 111–117) stimmen.</t>
  </si>
</sst>
</file>

<file path=xl/styles.xml><?xml version="1.0" encoding="utf-8"?>
<styleSheet xmlns="http://schemas.openxmlformats.org/spreadsheetml/2006/main">
  <numFmts count="3">
    <numFmt numFmtId="164" formatCode="General"/>
    <numFmt numFmtId="165" formatCode="0.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
      <b val="true"/>
      <sz val="12"/>
      <name val="Arial"/>
      <family val="0"/>
      <charset val="1"/>
    </font>
    <font>
      <sz val="10"/>
      <color rgb="FF0000FF"/>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bgColor rgb="FFF4CCCC"/>
        </patternFill>
      </fill>
    </dxf>
    <dxf>
      <fill>
        <patternFill>
          <bgColor rgb="FFFCE5C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2.25" hidden="false" customHeight="true" outlineLevel="0" collapsed="false">
      <c r="A1" s="2" t="s">
        <v>0</v>
      </c>
      <c r="B1" s="3"/>
    </row>
    <row r="2" customFormat="false" ht="15" hidden="false" customHeight="true" outlineLevel="0" collapsed="false">
      <c r="A2" s="4" t="s">
        <v>1</v>
      </c>
      <c r="B2" s="3" t="s">
        <v>2</v>
      </c>
    </row>
    <row r="3" customFormat="false" ht="15" hidden="false" customHeight="true" outlineLevel="0" collapsed="false">
      <c r="A3" s="4" t="s">
        <v>3</v>
      </c>
      <c r="B3" s="3" t="s">
        <v>4</v>
      </c>
    </row>
    <row r="4" customFormat="false" ht="15" hidden="false" customHeight="true" outlineLevel="0" collapsed="false">
      <c r="A4" s="4" t="s">
        <v>5</v>
      </c>
      <c r="B4" s="3" t="s">
        <v>6</v>
      </c>
    </row>
    <row r="5" customFormat="false" ht="15" hidden="false" customHeight="true" outlineLevel="0" collapsed="false">
      <c r="A5" s="4" t="s">
        <v>7</v>
      </c>
      <c r="B5" s="3" t="s">
        <v>8</v>
      </c>
    </row>
    <row r="6" customFormat="false" ht="15" hidden="false" customHeight="true" outlineLevel="0" collapsed="false">
      <c r="A6" s="4" t="s">
        <v>9</v>
      </c>
      <c r="B6" s="3" t="s">
        <v>10</v>
      </c>
    </row>
    <row r="7" customFormat="false" ht="15" hidden="false" customHeight="true" outlineLevel="0" collapsed="false">
      <c r="A7" s="4" t="s">
        <v>11</v>
      </c>
      <c r="B7" s="3" t="s">
        <v>12</v>
      </c>
    </row>
    <row r="8" customFormat="false" ht="15" hidden="false" customHeight="true" outlineLevel="0" collapsed="false">
      <c r="A8" s="4" t="s">
        <v>13</v>
      </c>
      <c r="B8" s="3" t="s">
        <v>14</v>
      </c>
    </row>
    <row r="9" customFormat="false" ht="15" hidden="false" customHeight="true" outlineLevel="0" collapsed="false">
      <c r="A9" s="4" t="s">
        <v>15</v>
      </c>
      <c r="B9" s="3" t="s">
        <v>16</v>
      </c>
    </row>
    <row r="10" customFormat="false" ht="23.25" hidden="false" customHeight="true" outlineLevel="0" collapsed="false">
      <c r="A10" s="4" t="s">
        <v>17</v>
      </c>
      <c r="B10" s="3" t="s">
        <v>18</v>
      </c>
    </row>
    <row r="11" customFormat="false" ht="15" hidden="false" customHeight="true" outlineLevel="0" collapsed="false">
      <c r="A11" s="4" t="s">
        <v>19</v>
      </c>
      <c r="B11" s="3" t="n">
        <v>36</v>
      </c>
    </row>
    <row r="12" customFormat="false" ht="15" hidden="false" customHeight="true" outlineLevel="0" collapsed="false">
      <c r="A12" s="4" t="s">
        <v>20</v>
      </c>
      <c r="B12" s="3" t="s">
        <v>21</v>
      </c>
    </row>
    <row r="13" customFormat="false" ht="15" hidden="false" customHeight="true" outlineLevel="0" collapsed="false">
      <c r="A13" s="4" t="s">
        <v>22</v>
      </c>
      <c r="B13" s="3" t="n">
        <v>7</v>
      </c>
    </row>
    <row r="14" customFormat="false" ht="15" hidden="false" customHeight="true" outlineLevel="0" collapsed="false">
      <c r="A14" s="4" t="s">
        <v>23</v>
      </c>
      <c r="B14" s="3" t="s">
        <v>24</v>
      </c>
    </row>
    <row r="15" customFormat="false" ht="23.25" hidden="false" customHeight="true" outlineLevel="0" collapsed="false">
      <c r="A15" s="4" t="s">
        <v>25</v>
      </c>
      <c r="B15" s="3" t="s">
        <v>26</v>
      </c>
    </row>
    <row r="16" customFormat="false" ht="15" hidden="false" customHeight="true" outlineLevel="0" collapsed="false">
      <c r="A16" s="4" t="s">
        <v>27</v>
      </c>
      <c r="B16"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4"/>
    <col collapsed="false" customWidth="true" hidden="false" outlineLevel="0" max="4" min="4" style="1" width="70"/>
    <col collapsed="false" customWidth="true" hidden="false" outlineLevel="0" max="5" min="5" style="1" width="10"/>
    <col collapsed="false" customWidth="true" hidden="false" outlineLevel="0" max="6" min="6" style="1" width="60"/>
    <col collapsed="false" customWidth="true" hidden="false" outlineLevel="0" max="7" min="7" style="1" width="30"/>
    <col collapsed="false" customWidth="true" hidden="false" outlineLevel="0" max="8" min="8" style="1" width="22"/>
  </cols>
  <sheetData>
    <row r="1" customFormat="false" ht="26.25" hidden="false" customHeight="true" outlineLevel="0" collapsed="false">
      <c r="A1" s="5" t="s">
        <v>29</v>
      </c>
      <c r="B1" s="5" t="s">
        <v>30</v>
      </c>
      <c r="C1" s="5" t="s">
        <v>31</v>
      </c>
      <c r="D1" s="5" t="s">
        <v>32</v>
      </c>
      <c r="E1" s="5" t="s">
        <v>33</v>
      </c>
      <c r="F1" s="5" t="s">
        <v>34</v>
      </c>
      <c r="G1" s="5" t="s">
        <v>35</v>
      </c>
      <c r="H1" s="5" t="s">
        <v>36</v>
      </c>
    </row>
    <row r="2" customFormat="false" ht="34.5" hidden="false" customHeight="true" outlineLevel="0" collapsed="false">
      <c r="A2" s="6" t="n">
        <v>1</v>
      </c>
      <c r="B2" s="6" t="s">
        <v>37</v>
      </c>
      <c r="C2" s="6" t="s">
        <v>38</v>
      </c>
      <c r="D2" s="6" t="s">
        <v>39</v>
      </c>
      <c r="E2" s="6" t="s">
        <v>40</v>
      </c>
      <c r="F2" s="6" t="s">
        <v>41</v>
      </c>
      <c r="G2" s="6" t="s">
        <v>42</v>
      </c>
      <c r="H2" s="6"/>
    </row>
    <row r="3" customFormat="false" ht="34.5" hidden="false" customHeight="true" outlineLevel="0" collapsed="false">
      <c r="A3" s="6" t="n">
        <v>2</v>
      </c>
      <c r="B3" s="6" t="s">
        <v>43</v>
      </c>
      <c r="C3" s="6" t="s">
        <v>44</v>
      </c>
      <c r="D3" s="6" t="s">
        <v>45</v>
      </c>
      <c r="E3" s="6" t="s">
        <v>46</v>
      </c>
      <c r="F3" s="6" t="s">
        <v>47</v>
      </c>
      <c r="G3" s="6" t="s">
        <v>48</v>
      </c>
      <c r="H3" s="6"/>
    </row>
    <row r="4" customFormat="false" ht="45.75" hidden="false" customHeight="true" outlineLevel="0" collapsed="false">
      <c r="A4" s="6" t="n">
        <v>3</v>
      </c>
      <c r="B4" s="6" t="s">
        <v>43</v>
      </c>
      <c r="C4" s="6" t="s">
        <v>49</v>
      </c>
      <c r="D4" s="6" t="s">
        <v>50</v>
      </c>
      <c r="E4" s="6" t="s">
        <v>46</v>
      </c>
      <c r="F4" s="6" t="s">
        <v>51</v>
      </c>
      <c r="G4" s="6" t="s">
        <v>52</v>
      </c>
      <c r="H4" s="6"/>
    </row>
    <row r="5" customFormat="false" ht="45.75" hidden="false" customHeight="true" outlineLevel="0" collapsed="false">
      <c r="A5" s="6" t="n">
        <v>4</v>
      </c>
      <c r="B5" s="6" t="s">
        <v>53</v>
      </c>
      <c r="C5" s="6" t="s">
        <v>54</v>
      </c>
      <c r="D5" s="6" t="s">
        <v>55</v>
      </c>
      <c r="E5" s="6" t="s">
        <v>46</v>
      </c>
      <c r="F5" s="6" t="s">
        <v>56</v>
      </c>
      <c r="G5" s="6" t="s">
        <v>57</v>
      </c>
      <c r="H5" s="6"/>
    </row>
    <row r="6" customFormat="false" ht="34.5" hidden="false" customHeight="true" outlineLevel="0" collapsed="false">
      <c r="A6" s="6" t="n">
        <v>5</v>
      </c>
      <c r="B6" s="6" t="s">
        <v>43</v>
      </c>
      <c r="C6" s="6" t="s">
        <v>58</v>
      </c>
      <c r="D6" s="6" t="s">
        <v>59</v>
      </c>
      <c r="E6" s="6" t="s">
        <v>46</v>
      </c>
      <c r="F6" s="6" t="s">
        <v>60</v>
      </c>
      <c r="G6" s="6" t="s">
        <v>61</v>
      </c>
      <c r="H6" s="6"/>
    </row>
    <row r="7" customFormat="false" ht="23.25" hidden="false" customHeight="true" outlineLevel="0" collapsed="false">
      <c r="A7" s="6" t="n">
        <v>6</v>
      </c>
      <c r="B7" s="6" t="s">
        <v>43</v>
      </c>
      <c r="C7" s="6" t="s">
        <v>62</v>
      </c>
      <c r="D7" s="6" t="s">
        <v>63</v>
      </c>
      <c r="E7" s="6" t="s">
        <v>64</v>
      </c>
      <c r="F7" s="6" t="s">
        <v>65</v>
      </c>
      <c r="G7" s="6" t="s">
        <v>66</v>
      </c>
      <c r="H7" s="6"/>
    </row>
    <row r="8" customFormat="false" ht="45.75" hidden="false" customHeight="true" outlineLevel="0" collapsed="false">
      <c r="A8" s="6" t="n">
        <v>7</v>
      </c>
      <c r="B8" s="6" t="s">
        <v>43</v>
      </c>
      <c r="C8" s="6" t="s">
        <v>67</v>
      </c>
      <c r="D8" s="6" t="s">
        <v>68</v>
      </c>
      <c r="E8" s="6" t="s">
        <v>64</v>
      </c>
      <c r="F8" s="6" t="s">
        <v>69</v>
      </c>
      <c r="G8" s="6" t="s">
        <v>70</v>
      </c>
      <c r="H8" s="6"/>
    </row>
    <row r="9" customFormat="false" ht="34.5" hidden="false" customHeight="true" outlineLevel="0" collapsed="false">
      <c r="A9" s="6" t="n">
        <v>8</v>
      </c>
      <c r="B9" s="6" t="s">
        <v>43</v>
      </c>
      <c r="C9" s="6" t="s">
        <v>71</v>
      </c>
      <c r="D9" s="6" t="s">
        <v>72</v>
      </c>
      <c r="E9" s="6" t="s">
        <v>64</v>
      </c>
      <c r="F9" s="6" t="s">
        <v>73</v>
      </c>
      <c r="G9" s="6" t="s">
        <v>74</v>
      </c>
      <c r="H9" s="6"/>
    </row>
    <row r="10" customFormat="false" ht="57" hidden="false" customHeight="true" outlineLevel="0" collapsed="false">
      <c r="A10" s="6" t="n">
        <v>9</v>
      </c>
      <c r="B10" s="6" t="s">
        <v>43</v>
      </c>
      <c r="C10" s="6" t="s">
        <v>75</v>
      </c>
      <c r="D10" s="6" t="s">
        <v>76</v>
      </c>
      <c r="E10" s="6" t="s">
        <v>64</v>
      </c>
      <c r="F10" s="6" t="s">
        <v>77</v>
      </c>
      <c r="G10" s="6" t="s">
        <v>78</v>
      </c>
      <c r="H10" s="6"/>
    </row>
    <row r="11" customFormat="false" ht="34.5" hidden="false" customHeight="true" outlineLevel="0" collapsed="false">
      <c r="A11" s="6" t="n">
        <v>10</v>
      </c>
      <c r="B11" s="6" t="s">
        <v>79</v>
      </c>
      <c r="C11" s="6" t="s">
        <v>80</v>
      </c>
      <c r="D11" s="6" t="s">
        <v>81</v>
      </c>
      <c r="E11" s="6" t="s">
        <v>64</v>
      </c>
      <c r="F11" s="6" t="s">
        <v>82</v>
      </c>
      <c r="G11" s="6" t="s">
        <v>83</v>
      </c>
      <c r="H11" s="6"/>
    </row>
    <row r="12" customFormat="false" ht="15" hidden="false" customHeight="true" outlineLevel="0" collapsed="false">
      <c r="A12" s="6" t="n">
        <v>11</v>
      </c>
      <c r="B12" s="6" t="s">
        <v>43</v>
      </c>
      <c r="C12" s="6" t="s">
        <v>84</v>
      </c>
      <c r="D12" s="6" t="s">
        <v>85</v>
      </c>
      <c r="E12" s="6" t="s">
        <v>64</v>
      </c>
      <c r="F12" s="6" t="s">
        <v>86</v>
      </c>
      <c r="G12" s="6" t="s">
        <v>84</v>
      </c>
      <c r="H12" s="6"/>
    </row>
    <row r="13" customFormat="false" ht="23.25" hidden="false" customHeight="true" outlineLevel="0" collapsed="false">
      <c r="A13" s="6" t="n">
        <v>12</v>
      </c>
      <c r="B13" s="6" t="s">
        <v>43</v>
      </c>
      <c r="C13" s="6" t="s">
        <v>87</v>
      </c>
      <c r="D13" s="6" t="s">
        <v>88</v>
      </c>
      <c r="E13" s="6" t="s">
        <v>64</v>
      </c>
      <c r="F13" s="6" t="s">
        <v>89</v>
      </c>
      <c r="G13" s="6" t="s">
        <v>90</v>
      </c>
      <c r="H13" s="6"/>
    </row>
    <row r="14" customFormat="false" ht="23.25" hidden="false" customHeight="true" outlineLevel="0" collapsed="false">
      <c r="A14" s="6" t="n">
        <v>13</v>
      </c>
      <c r="B14" s="6" t="s">
        <v>53</v>
      </c>
      <c r="C14" s="6" t="s">
        <v>91</v>
      </c>
      <c r="D14" s="6" t="s">
        <v>92</v>
      </c>
      <c r="E14" s="6" t="s">
        <v>64</v>
      </c>
      <c r="F14" s="6" t="s">
        <v>93</v>
      </c>
      <c r="G14" s="6" t="s">
        <v>94</v>
      </c>
      <c r="H14" s="6"/>
    </row>
    <row r="15" customFormat="false" ht="34.5" hidden="false" customHeight="true" outlineLevel="0" collapsed="false">
      <c r="A15" s="6" t="n">
        <v>14</v>
      </c>
      <c r="B15" s="6" t="s">
        <v>53</v>
      </c>
      <c r="C15" s="6" t="s">
        <v>95</v>
      </c>
      <c r="D15" s="6" t="s">
        <v>96</v>
      </c>
      <c r="E15" s="6" t="s">
        <v>64</v>
      </c>
      <c r="F15" s="6" t="s">
        <v>97</v>
      </c>
      <c r="G15" s="6" t="s">
        <v>98</v>
      </c>
      <c r="H15" s="6"/>
    </row>
    <row r="16" customFormat="false" ht="15" hidden="false" customHeight="true" outlineLevel="0" collapsed="false">
      <c r="A16" s="6" t="n">
        <v>15</v>
      </c>
      <c r="B16" s="6" t="s">
        <v>53</v>
      </c>
      <c r="C16" s="6" t="s">
        <v>99</v>
      </c>
      <c r="D16" s="6" t="s">
        <v>100</v>
      </c>
      <c r="E16" s="6" t="s">
        <v>64</v>
      </c>
      <c r="F16" s="6" t="s">
        <v>101</v>
      </c>
      <c r="G16" s="6" t="s">
        <v>102</v>
      </c>
      <c r="H16" s="6"/>
    </row>
    <row r="17" customFormat="false" ht="23.25" hidden="false" customHeight="true" outlineLevel="0" collapsed="false">
      <c r="A17" s="6" t="n">
        <v>16</v>
      </c>
      <c r="B17" s="6" t="s">
        <v>53</v>
      </c>
      <c r="C17" s="6" t="s">
        <v>103</v>
      </c>
      <c r="D17" s="6" t="s">
        <v>104</v>
      </c>
      <c r="E17" s="6" t="s">
        <v>64</v>
      </c>
      <c r="F17" s="6" t="s">
        <v>105</v>
      </c>
      <c r="G17" s="6" t="s">
        <v>106</v>
      </c>
      <c r="H17" s="6"/>
    </row>
    <row r="18" customFormat="false" ht="34.5" hidden="false" customHeight="true" outlineLevel="0" collapsed="false">
      <c r="A18" s="6" t="n">
        <v>17</v>
      </c>
      <c r="B18" s="6" t="s">
        <v>53</v>
      </c>
      <c r="C18" s="6" t="s">
        <v>107</v>
      </c>
      <c r="D18" s="6" t="s">
        <v>108</v>
      </c>
      <c r="E18" s="6" t="s">
        <v>64</v>
      </c>
      <c r="F18" s="6" t="s">
        <v>109</v>
      </c>
      <c r="G18" s="6" t="s">
        <v>110</v>
      </c>
      <c r="H18" s="6"/>
    </row>
    <row r="19" customFormat="false" ht="23.25" hidden="false" customHeight="true" outlineLevel="0" collapsed="false"/>
    <row r="20" customFormat="false" ht="34.5" hidden="false" customHeight="true" outlineLevel="0" collapsed="false"/>
    <row r="21" customFormat="false" ht="34.5" hidden="false" customHeight="true" outlineLevel="0" collapsed="false"/>
    <row r="22" customFormat="false" ht="34.5" hidden="false" customHeight="true" outlineLevel="0" collapsed="false"/>
    <row r="23" customFormat="false" ht="23.25" hidden="false" customHeight="true" outlineLevel="0" collapsed="false"/>
    <row r="24" customFormat="false" ht="34.5" hidden="false" customHeight="true" outlineLevel="0" collapsed="false"/>
    <row r="25" customFormat="false" ht="23.25" hidden="false" customHeight="true" outlineLevel="0" collapsed="false"/>
    <row r="26" customFormat="false" ht="23.25" hidden="false" customHeight="true" outlineLevel="0" collapsed="false"/>
    <row r="27" customFormat="false" ht="15" hidden="false" customHeight="true" outlineLevel="0" collapsed="false"/>
    <row r="28" customFormat="false" ht="23.25" hidden="false" customHeight="true" outlineLevel="0" collapsed="false"/>
    <row r="29" customFormat="false" ht="15" hidden="false" customHeight="true" outlineLevel="0" collapsed="false"/>
  </sheetData>
  <autoFilter ref="A1:H29"/>
  <conditionalFormatting sqref="E2:E79">
    <cfRule type="cellIs" priority="2" operator="equal" aboveAverage="0" equalAverage="0" bottom="0" percent="0" rank="0" text="" dxfId="7">
      <formula>"schwer"</formula>
    </cfRule>
    <cfRule type="cellIs" priority="3" operator="equal" aboveAverage="0" equalAverage="0" bottom="0" percent="0" rank="0" text="" dxfId="8">
      <formula>"mittel"</formula>
    </cfRule>
    <cfRule type="cellIs" priority="4" operator="equal" aboveAverage="0" equalAverage="0" bottom="0" percent="0" rank="0" text="" dxfId="9">
      <formula>"gering"</formula>
    </cfRule>
  </conditionalFormatting>
  <dataValidations count="3">
    <dataValidation allowBlank="false" errorStyle="stop" operator="between" showDropDown="false" showErrorMessage="false" showInputMessage="false" sqref="E2:E79" type="list">
      <formula1>"schwer,mittel,gering"</formula1>
      <formula2>0</formula2>
    </dataValidation>
    <dataValidation allowBlank="false" errorStyle="stop" operator="between" showDropDown="false" showErrorMessage="false" showInputMessage="false" sqref="B2:B79" type="list">
      <formula1>"0,A,B,C,D"</formula1>
      <formula2>0</formula2>
    </dataValidation>
    <dataValidation allowBlank="false" errorStyle="stop" operator="between" showDropDown="false" showErrorMessage="false" showInputMessage="false" sqref="H2:H79" type="list">
      <formula1>"offen,in Prompt V3 überarbeitet,behoben im Folgelauf,nicht übernommen"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36"/>
    <col collapsed="false" customWidth="true" hidden="false" outlineLevel="0" max="6" min="3" style="1" width="10"/>
  </cols>
  <sheetData>
    <row r="1" customFormat="false" ht="15" hidden="false" customHeight="true" outlineLevel="0" collapsed="false">
      <c r="A1" s="7" t="s">
        <v>111</v>
      </c>
    </row>
    <row r="3" customFormat="false" ht="15" hidden="false" customHeight="true" outlineLevel="0" collapsed="false">
      <c r="A3" s="5" t="s">
        <v>30</v>
      </c>
      <c r="B3" s="5" t="s">
        <v>112</v>
      </c>
      <c r="C3" s="5" t="s">
        <v>40</v>
      </c>
      <c r="D3" s="5" t="s">
        <v>46</v>
      </c>
      <c r="E3" s="5" t="s">
        <v>64</v>
      </c>
      <c r="F3" s="5" t="s">
        <v>113</v>
      </c>
    </row>
    <row r="4" customFormat="false" ht="15" hidden="false" customHeight="true" outlineLevel="0" collapsed="false">
      <c r="A4" s="8" t="s">
        <v>114</v>
      </c>
      <c r="B4" s="8" t="s">
        <v>115</v>
      </c>
      <c r="C4" s="8" t="n">
        <f aca="false">COUNTIFS(Befunde!$B$2:$B$500,$A4,Befunde!$E$2:$E$500,C$3)</f>
        <v>0</v>
      </c>
      <c r="D4" s="8" t="n">
        <f aca="false">COUNTIFS(Befunde!$B$2:$B$500,$A4,Befunde!$E$2:$E$500,D$3)</f>
        <v>0</v>
      </c>
      <c r="E4" s="8" t="n">
        <f aca="false">COUNTIFS(Befunde!$B$2:$B$500,$A4,Befunde!$E$2:$E$500,E$3)</f>
        <v>0</v>
      </c>
      <c r="F4" s="8" t="n">
        <f aca="false">SUM(C4:E4)</f>
        <v>0</v>
      </c>
    </row>
    <row r="5" customFormat="false" ht="15" hidden="false" customHeight="true" outlineLevel="0" collapsed="false">
      <c r="A5" s="8" t="s">
        <v>37</v>
      </c>
      <c r="B5" s="8" t="s">
        <v>116</v>
      </c>
      <c r="C5" s="8" t="n">
        <f aca="false">COUNTIFS(Befunde!$B$2:$B$500,$A5,Befunde!$E$2:$E$500,C$3)</f>
        <v>1</v>
      </c>
      <c r="D5" s="8" t="n">
        <f aca="false">COUNTIFS(Befunde!$B$2:$B$500,$A5,Befunde!$E$2:$E$500,D$3)</f>
        <v>0</v>
      </c>
      <c r="E5" s="8" t="n">
        <f aca="false">COUNTIFS(Befunde!$B$2:$B$500,$A5,Befunde!$E$2:$E$500,E$3)</f>
        <v>0</v>
      </c>
      <c r="F5" s="8" t="n">
        <f aca="false">SUM(C5:E5)</f>
        <v>1</v>
      </c>
    </row>
    <row r="6" customFormat="false" ht="15" hidden="false" customHeight="true" outlineLevel="0" collapsed="false">
      <c r="A6" s="8" t="s">
        <v>79</v>
      </c>
      <c r="B6" s="8" t="s">
        <v>117</v>
      </c>
      <c r="C6" s="8" t="n">
        <f aca="false">COUNTIFS(Befunde!$B$2:$B$500,$A6,Befunde!$E$2:$E$500,C$3)</f>
        <v>0</v>
      </c>
      <c r="D6" s="8" t="n">
        <f aca="false">COUNTIFS(Befunde!$B$2:$B$500,$A6,Befunde!$E$2:$E$500,D$3)</f>
        <v>0</v>
      </c>
      <c r="E6" s="8" t="n">
        <f aca="false">COUNTIFS(Befunde!$B$2:$B$500,$A6,Befunde!$E$2:$E$500,E$3)</f>
        <v>1</v>
      </c>
      <c r="F6" s="8" t="n">
        <f aca="false">SUM(C6:E6)</f>
        <v>1</v>
      </c>
    </row>
    <row r="7" customFormat="false" ht="15" hidden="false" customHeight="true" outlineLevel="0" collapsed="false">
      <c r="A7" s="8" t="s">
        <v>43</v>
      </c>
      <c r="B7" s="8" t="s">
        <v>118</v>
      </c>
      <c r="C7" s="8" t="n">
        <f aca="false">COUNTIFS(Befunde!$B$2:$B$500,$A7,Befunde!$E$2:$E$500,C$3)</f>
        <v>0</v>
      </c>
      <c r="D7" s="8" t="n">
        <f aca="false">COUNTIFS(Befunde!$B$2:$B$500,$A7,Befunde!$E$2:$E$500,D$3)</f>
        <v>3</v>
      </c>
      <c r="E7" s="8" t="n">
        <f aca="false">COUNTIFS(Befunde!$B$2:$B$500,$A7,Befunde!$E$2:$E$500,E$3)</f>
        <v>6</v>
      </c>
      <c r="F7" s="8" t="n">
        <f aca="false">SUM(C7:E7)</f>
        <v>9</v>
      </c>
    </row>
    <row r="8" customFormat="false" ht="15" hidden="false" customHeight="true" outlineLevel="0" collapsed="false">
      <c r="A8" s="8" t="s">
        <v>53</v>
      </c>
      <c r="B8" s="8" t="s">
        <v>119</v>
      </c>
      <c r="C8" s="8" t="n">
        <f aca="false">COUNTIFS(Befunde!$B$2:$B$500,$A8,Befunde!$E$2:$E$500,C$3)</f>
        <v>0</v>
      </c>
      <c r="D8" s="8" t="n">
        <f aca="false">COUNTIFS(Befunde!$B$2:$B$500,$A8,Befunde!$E$2:$E$500,D$3)</f>
        <v>1</v>
      </c>
      <c r="E8" s="8" t="n">
        <f aca="false">COUNTIFS(Befunde!$B$2:$B$500,$A8,Befunde!$E$2:$E$500,E$3)</f>
        <v>5</v>
      </c>
      <c r="F8" s="8" t="n">
        <f aca="false">SUM(C8:E8)</f>
        <v>6</v>
      </c>
    </row>
    <row r="9" customFormat="false" ht="15" hidden="false" customHeight="true" outlineLevel="0" collapsed="false">
      <c r="A9" s="9" t="s">
        <v>113</v>
      </c>
      <c r="B9" s="9"/>
      <c r="C9" s="9" t="n">
        <f aca="false">SUM(C4:C8)</f>
        <v>1</v>
      </c>
      <c r="D9" s="9" t="n">
        <f aca="false">SUM(D4:D8)</f>
        <v>4</v>
      </c>
      <c r="E9" s="9" t="n">
        <f aca="false">SUM(E4:E8)</f>
        <v>12</v>
      </c>
      <c r="F9" s="9" t="n">
        <f aca="false">SUM(F4:F8)</f>
        <v>17</v>
      </c>
    </row>
    <row r="11" customFormat="false" ht="15" hidden="false" customHeight="true" outlineLevel="0" collapsed="false">
      <c r="A11" s="7" t="s">
        <v>120</v>
      </c>
    </row>
    <row r="12" customFormat="false" ht="15" hidden="false" customHeight="true" outlineLevel="0" collapsed="false">
      <c r="A12" s="6" t="s">
        <v>121</v>
      </c>
      <c r="B12" s="8" t="n">
        <f aca="false">'Lauf-Info'!B11</f>
        <v>36</v>
      </c>
    </row>
    <row r="13" customFormat="false" ht="15" hidden="false" customHeight="true" outlineLevel="0" collapsed="false">
      <c r="A13" s="6" t="s">
        <v>122</v>
      </c>
      <c r="B13" s="8" t="n">
        <f aca="false">'Lauf-Info'!B13</f>
        <v>7</v>
      </c>
    </row>
    <row r="14" customFormat="false" ht="15" hidden="false" customHeight="true" outlineLevel="0" collapsed="false">
      <c r="A14" s="6" t="s">
        <v>123</v>
      </c>
      <c r="B14" s="8" t="n">
        <f aca="false">F9</f>
        <v>17</v>
      </c>
    </row>
    <row r="15" customFormat="false" ht="15" hidden="false" customHeight="true" outlineLevel="0" collapsed="false">
      <c r="A15" s="6" t="s">
        <v>124</v>
      </c>
      <c r="B15" s="10" t="n">
        <f aca="false">IFERROR(F9/B12,0)</f>
        <v>0.472222222222222</v>
      </c>
    </row>
    <row r="16" customFormat="false" ht="15" hidden="false" customHeight="true" outlineLevel="0" collapsed="false">
      <c r="A16" s="6" t="s">
        <v>125</v>
      </c>
      <c r="B16" s="11" t="n">
        <v>1</v>
      </c>
      <c r="C16" s="12" t="s">
        <v>126</v>
      </c>
    </row>
    <row r="17" customFormat="false" ht="23.25" hidden="false" customHeight="true" outlineLevel="0" collapsed="false">
      <c r="A17" s="6" t="s">
        <v>127</v>
      </c>
      <c r="B17" s="13" t="n">
        <f aca="false">IFERROR(B16/B13,0)</f>
        <v>0.142857142857143</v>
      </c>
    </row>
    <row r="18" customFormat="false" ht="15" hidden="false" customHeight="true" outlineLevel="0" collapsed="false">
      <c r="A18" s="6" t="s">
        <v>128</v>
      </c>
      <c r="B18" s="8" t="n">
        <f aca="false">COUNTIF(Befunde!$H$2:$H$500,"offen")</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70"/>
  </cols>
  <sheetData>
    <row r="1" customFormat="false" ht="15" hidden="false" customHeight="true" outlineLevel="0" collapsed="false">
      <c r="A1" s="5" t="s">
        <v>129</v>
      </c>
      <c r="B1" s="5" t="s">
        <v>130</v>
      </c>
      <c r="C1" s="5" t="s">
        <v>131</v>
      </c>
    </row>
    <row r="2" customFormat="false" ht="23.25" hidden="false" customHeight="true" outlineLevel="0" collapsed="false">
      <c r="A2" s="6" t="s">
        <v>132</v>
      </c>
      <c r="B2" s="6" t="s">
        <v>133</v>
      </c>
      <c r="C2" s="6" t="s">
        <v>134</v>
      </c>
    </row>
    <row r="3" customFormat="false" ht="15" hidden="false" customHeight="true" outlineLevel="0" collapsed="false">
      <c r="A3" s="6" t="s">
        <v>135</v>
      </c>
      <c r="B3" s="6" t="s">
        <v>133</v>
      </c>
      <c r="C3" s="6" t="s">
        <v>136</v>
      </c>
    </row>
    <row r="4" customFormat="false" ht="23.25" hidden="false" customHeight="true" outlineLevel="0" collapsed="false">
      <c r="A4" s="6" t="s">
        <v>137</v>
      </c>
      <c r="B4" s="6" t="s">
        <v>138</v>
      </c>
      <c r="C4" s="6" t="s">
        <v>139</v>
      </c>
    </row>
    <row r="5" customFormat="false" ht="15" hidden="false" customHeight="true" outlineLevel="0" collapsed="false"/>
    <row r="6"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2026-10-16T11:21:06Z</dcterms:created>
  <dc:creator>openpyxl</dc:creator>
  <dc:description/>
  <dc:language>en-US</dc:language>
  <cp:lastModifiedBy/>
  <dcterms:modified xsi:type="dcterms:W3CDTF">2026-10-16T12:25:06Z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