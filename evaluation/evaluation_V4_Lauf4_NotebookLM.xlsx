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auf-Info" sheetId="1" state="visible" r:id="rId3"/>
    <sheet name="Befunde" sheetId="2" state="visible" r:id="rId4"/>
    <sheet name="Übersicht" sheetId="3" state="visible" r:id="rId5"/>
    <sheet name="Nicht geprüft" sheetId="4" state="visible" r:id="rId6"/>
  </sheets>
  <definedNames>
    <definedName function="false" hidden="true" localSheetId="1" name="_xlnm._FilterDatabase" vbProcedure="false">Befunde!$A$1:$H$29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<sst xmlns="http://schemas.openxmlformats.org/spreadsheetml/2006/main" count="203" uniqueCount="156">
  <si>
    <t xml:space="preserve">Evaluationsdatei – Fragebogenlauf</t>
  </si>
  <si>
    <t xml:space="preserve">Lauf</t>
  </si>
  <si>
    <t xml:space="preserve">Lauf 4 – NotebookLM</t>
  </si>
  <si>
    <t xml:space="preserve">Geprüfte Datei</t>
  </si>
  <si>
    <t xml:space="preserve">KI_Readiness_Fragebogen_Microsoft_Copilot_v2.docx</t>
  </si>
  <si>
    <t xml:space="preserve">Zugrunde liegender Prompt</t>
  </si>
  <si>
    <t xml:space="preserve">nicht in der Prüfung angegeben</t>
  </si>
  <si>
    <t xml:space="preserve">Fall</t>
  </si>
  <si>
    <t xml:space="preserve">Microsoft Copilot · Beschäftigte ohne KI-Fachausbildung</t>
  </si>
  <si>
    <t xml:space="preserve">Prüfende Instanz</t>
  </si>
  <si>
    <t xml:space="preserve">Claude (unabhängige Gutachterrolle, Prüfprompt mit Kriterien 0–D)</t>
  </si>
  <si>
    <t xml:space="preserve">Prüfdatum</t>
  </si>
  <si>
    <t xml:space="preserve">15.10.2026</t>
  </si>
  <si>
    <t xml:space="preserve">Prüfgrundlage</t>
  </si>
  <si>
    <t xml:space="preserve">D1 Itemkatalog (Fragebogen 1–5 zu P1–P5); S1a, S1b (MAILS); S2 (ATAI); P2, P3, P4</t>
  </si>
  <si>
    <t xml:space="preserve">Prüfkriterien</t>
  </si>
  <si>
    <t xml:space="preserve">0 Quellenechtheit · A Theorievermischung · B Double-Barreled · C Suggestivität/Verständlichkeit · D Fehlende Quellenangaben</t>
  </si>
  <si>
    <t xml:space="preserve">Schweregrade</t>
  </si>
  <si>
    <t xml:space="preserve">schwer = misst nicht, was es messen soll (immer bei 0-Erfindung und A) · mittel = Validität/Nachvollziehbarkeit eingeschränkt · gering = formale/sprachliche Unschärfe</t>
  </si>
  <si>
    <t xml:space="preserve">Geprüfte Items (Anzahl)</t>
  </si>
  <si>
    <t xml:space="preserve">Itemverteilung</t>
  </si>
  <si>
    <t xml:space="preserve">Q4 (P4): 8 · Q2 (P2): 6 · Q3 (P3): 4 · MAILS (S1a/S1b): 3 · ATAI (S2): 3</t>
  </si>
  <si>
    <t xml:space="preserve">Geprüfte Hypothesen (Anzahl)</t>
  </si>
  <si>
    <t xml:space="preserve">Wichtigste Schwäche</t>
  </si>
  <si>
    <t xml:space="preserve">Items wurden ohne Dokumentation umgedeutet und gekürzt. Am deutlichsten zeigt sich das im Ebenenwechsel von der Organisations- zur Individualabsicht (Q4-I1) und darin, dass alle Hypothesenkriterien nur aus einem Item bestehen.</t>
  </si>
  <si>
    <t xml:space="preserve">Abgeleitete Prompt-Regel</t>
  </si>
  <si>
    <t xml:space="preserve">„Übernimm Skalen vollständig mit Originalebene, Originalzielgruppe und Originalantwortformat. Begründe jede Abweichung (Itemauswahl, Perspektive, Skala) mit Fundstelle oder kennzeichne sie als nicht validiert. Kriteriumsvariablen dürfen nie aus nur einem Item bestehen.“</t>
  </si>
  <si>
    <t xml:space="preserve">Umsetzung im Prompt</t>
  </si>
  <si>
    <t xml:space="preserve">nicht Bestandteil dieser Prüfung</t>
  </si>
  <si>
    <t xml:space="preserve">Nr.</t>
  </si>
  <si>
    <t xml:space="preserve">Kriterium</t>
  </si>
  <si>
    <t xml:space="preserve">Fundstelle (Item-ID)</t>
  </si>
  <si>
    <t xml:space="preserve">Befund</t>
  </si>
  <si>
    <t xml:space="preserve">Schwere</t>
  </si>
  <si>
    <t xml:space="preserve">Korrekturvorschlag</t>
  </si>
  <si>
    <t xml:space="preserve">Beleg</t>
  </si>
  <si>
    <t xml:space="preserve">Status Prompt-Revision</t>
  </si>
  <si>
    <t xml:space="preserve">A</t>
  </si>
  <si>
    <t xml:space="preserve">Q4-I1 / H3</t>
  </si>
  <si>
    <t xml:space="preserve">Das Item wechselt die Ebene: Aus der Organisationsabsicht („We are considering … in our business processes“) wird eine individuelle Absicht („Ich ziehe in Betracht … bei meinen Arbeitsaufgaben“). Die Definition in Tabelle A lautet aber „intention to decide on using genAI in organisational contexts“. Auch die P4-Stichprobe passt nicht: Befragt wurden Führungskräfte mit Entscheidungsbefugnis, hier dagegen Beschäftigte ohne KI-Fachausbildung. Das Item misst also nicht das Konstrukt, das die eigene Definition beschreibt.</t>
  </si>
  <si>
    <t xml:space="preserve">schwer</t>
  </si>
  <si>
    <t xml:space="preserve">Den Ebenenwechsel ausdrücklich als nicht validierte Adaption kennzeichnen. H3 als explorativ ausweisen. Alle drei P4-Intention-Items (I1–I3) einheitlich auf die Ich-Ebene anpassen, damit sich die Reliabilität prüfen lässt. Keine Items aus P2 oder P3 einsetzen, sonst entsteht eine Theorievermischung.</t>
  </si>
  <si>
    <t xml:space="preserve">P4, S. 8 (Messung „standard items derived from Ajzen &amp; Fishbein“), S. 9 („managerial decision-makers“), S. 17; D1 Q4 I1–I3</t>
  </si>
  <si>
    <t xml:space="preserve">0</t>
  </si>
  <si>
    <t xml:space="preserve">Q3-BI-1</t>
  </si>
  <si>
    <t xml:space="preserve">Das Originalitem ist nicht wörtlich zitiert. Im Katalog steht „I intend to use Virtual Reality in the future to perform my tasks.“ Außerdem steht das Item nicht im Fließtext von P3 (S. 321), sondern in D1.</t>
  </si>
  <si>
    <t xml:space="preserve">gering</t>
  </si>
  <si>
    <t xml:space="preserve">Das Original vollständig zitieren und als Fundstelle „D1, Q3 (BI)“ angeben.</t>
  </si>
  <si>
    <t xml:space="preserve">D1 Q3 BI (1)</t>
  </si>
  <si>
    <t xml:space="preserve">MAILS-23, -24, -32</t>
  </si>
  <si>
    <t xml:space="preserve">Der zitierte Wortlaut von Item 32 („doing everyday things with AI“) stammt aus S1b (Item-Tabelle). Angegeben ist aber S1a, und dort heißt es „while doing things with AI“. Die Quellenangabe passt also nicht zum Wortlaut.</t>
  </si>
  <si>
    <t xml:space="preserve">S1b als Fundstelle angeben oder den S1a-Wortlaut übernehmen.</t>
  </si>
  <si>
    <t xml:space="preserve">S1a, Item 32; S1b, Item-Tabelle, Item 32</t>
  </si>
  <si>
    <t xml:space="preserve">B</t>
  </si>
  <si>
    <t xml:space="preserve">Q4-T4</t>
  </si>
  <si>
    <t xml:space="preserve">Durch „Antworten und Vorschlägen“ hat das Item zwei Gegenstände. Das Original nennt nur „answers“.</t>
  </si>
  <si>
    <t xml:space="preserve">mittel</t>
  </si>
  <si>
    <t xml:space="preserve">„Ich würde den Antworten von Microsoft Copilot vertrauen.“ (Ü, K, I)</t>
  </si>
  <si>
    <t xml:space="preserve">D1 Q4 T4</t>
  </si>
  <si>
    <t xml:space="preserve">C</t>
  </si>
  <si>
    <t xml:space="preserve">Q4-D1</t>
  </si>
  <si>
    <t xml:space="preserve">Die Verneinung („keine Bedenken“) und der dass-Satz („dass … weitergibt“) machen das Item mehrdeutig. Unklar bleibt, ob man mit Zustimmung Vertraulichkeit erwartet oder eine Weitergabe für unbedenklich hält. Eine Beibehaltung lässt sich nicht mit der Validierung begründen: Ladungen und Anhang sind nicht in den Quellen enthalten.</t>
  </si>
  <si>
    <t xml:space="preserve">„Ich wäre zuversichtlich, dass Microsoft Copilot unsere eingegebenen unternehmensinternen Informationen vertraulich behandeln würde.“ Als Adaption I kennzeichnen. Die Formulierung entspricht der Definition „keeping the information … within the respective company“.</t>
  </si>
  <si>
    <t xml:space="preserve">P4, S. 8; D1 Q4 D1</t>
  </si>
  <si>
    <t xml:space="preserve">Q4-X1</t>
  </si>
  <si>
    <t xml:space="preserve">„Grundlegend“ ist ein nicht markierter Abschwächer und macht das Item leichter zustimmbar. Der Konjunktiv („würde verstehen“) macht aus einer Wissensaussage eine Erwartung, obwohl das Original („I know …“) gar keine Nutzungserfahrung voraussetzt.</t>
  </si>
  <si>
    <t xml:space="preserve">„Ich weiß, wie Microsoft Copilot funktioniert.“ (Ü, K; deutsche Fassung laut D1)</t>
  </si>
  <si>
    <t xml:space="preserve">D1 Q4 X1; P4, S. 8</t>
  </si>
  <si>
    <t xml:space="preserve">D</t>
  </si>
  <si>
    <t xml:space="preserve">Q3-TTF-1, -2 / H6, H7</t>
  </si>
  <si>
    <t xml:space="preserve">Ein Häufigkeitsfilter (≥ 4) wird angekündigt, die Items zu den Aufgabenmerkmalen (TC), auf denen er beruht, fehlen aber im Fragebogen. Der Filter lässt sich deshalb nicht anwenden. In P3 beantworten nur Personen die Fit-Items, die die Aufgabenart mindestens monatlich ausführen.</t>
  </si>
  <si>
    <t xml:space="preserve">Die drei TC-Items „Intellective Tasks“ aus D1 Q3 (6-stufige Häufigkeitsskala) vor die Fit-Items stellen.</t>
  </si>
  <si>
    <t xml:space="preserve">P3, S. 322; D1 Q3</t>
  </si>
  <si>
    <t xml:space="preserve">Nur die Aufgabenart „Intellective“ wird verwendet, und davon nur 2 von 3 Items. Das ist nicht begründet. In P3 ist TTF der Mittelwert aller Fit-Items der relevanten Aufgabenarten. Außerdem wurde „Intellective“ im TC-Modell von P3 wegen unzureichender Ladung ausgeschlossen.</t>
  </si>
  <si>
    <t xml:space="preserve">Die Auswahl mit einer Quelle begründen oder alle Aufgabenarten mit Filter übernehmen; mindestens das dritte Intellective-Item ergänzen.</t>
  </si>
  <si>
    <t xml:space="preserve">P3, S. 322–323</t>
  </si>
  <si>
    <t xml:space="preserve">global (alle Konstrukte)</t>
  </si>
  <si>
    <t xml:space="preserve">Die Skalen wurden ohne Begründung gekürzt: Trust 1/4, Intention (P4) 1/3, Attitude 1/4, Intention (P2) 1/3, Perceived usefulness 2/4, Ease of use 2/3, BI 1/3, PERF 1/3, MAILS Problem Solving 2/3, Emotion Regulation 1/3, ATAI Acceptance 1/2, Fear 2/3. Alle Kriterien in H1–H7 sind Einzelitems. Ihre Reliabilität lässt sich daher nicht prüfen.</t>
  </si>
  <si>
    <t xml:space="preserve">Kürzungen einzeln begründen oder die Originalskalen vollständig übernehmen. Mindestens die Kriteriumsskalen vollständig erheben.</t>
  </si>
  <si>
    <t xml:space="preserve">D1 Q2–Q4; S1a; S2, Tab. 1</t>
  </si>
  <si>
    <t xml:space="preserve">global (Antwortformat)</t>
  </si>
  <si>
    <t xml:space="preserve">Die Originalformate (7-stufig in P2/D1, 0–10 bei MAILS und ATAI) werden ohne Quellenbegründung auf eine 5-stufige Zustimmungsskala mit Ausweichoption umgestellt. Bei MAILS ändert sich dadurch auch die Art des Urteils: Das Original fragt nach der Ausprägung einer Fähigkeit („How pronounced are your abilities?“), nicht nach Zustimmung. Die Angabe „7-stufige Likert-Skala“ für P4 ist nicht in den Quellen enthalten.</t>
  </si>
  <si>
    <t xml:space="preserve">Die Umstellung je Instrument dokumentieren und begründen. Für P4 angeben: „Originalskala nicht in den Quellen enthalten“. MAILS mit Originalinstruktion und 0–10-Skala erheben.</t>
  </si>
  <si>
    <t xml:space="preserve">S1a, Instruktion; S2, S. 112; P2, S. 964; D1 Q2</t>
  </si>
  <si>
    <t xml:space="preserve">Tabelle A (PERF, BI, ATAI)</t>
  </si>
  <si>
    <t xml:space="preserve">Diese Definitionen sind nicht, wie behauptet, „wörtlich laut Quelle“. PERF: Der Text ist die Instruktion aus D1 Q3, nicht P3 S. 321. BI: Die Definition ist nicht in den Quellen enthalten. ATAI: Die Definitionen sind Paraphrasen; S2 nennt nur Faktorbezeichnungen (Acceptance = Items 02, 04; Fear = Items 01, 03, 05).</t>
  </si>
  <si>
    <t xml:space="preserve">Belegbare Definitionen zitieren oder die Angaben als [eigene Bewertung] kennzeichnen. Für ATAI auf die Faktorzuordnung verweisen.</t>
  </si>
  <si>
    <t xml:space="preserve">D1 Q3; P3, S. 322; S2, S. 113</t>
  </si>
  <si>
    <t xml:space="preserve">Tabelle C (Gegenannahmen H1, H3–H7)</t>
  </si>
  <si>
    <t xml:space="preserve">Die Gegenannahmen zu H3–H7 sind nicht in den Quellen enthalten; in P2 und P3 wurden keine Moderationen getestet. Die Gegenannahme zu H1 widerspricht P4: Der Vertrieb ist eine Nicht-IT-Abteilung und gewichtet Ability höher als Integrity. Der Satz „Sämtliche … Gegenannahmen stammen empirisch aus derselben Ursprungsquelle“ trifft daher nicht zu.</t>
  </si>
  <si>
    <t xml:space="preserve">Die Gegenannahmen streichen oder als [eigene Bewertung] kennzeichnen. H1-Gegenannahme ändern zu: „In Unternehmensführung, Produktentwicklung/Marketing sowie Kunden- und Servicemanagement wird Integrity höher gewichtet als Ability.“</t>
  </si>
  <si>
    <t xml:space="preserve">P4, S. 12–13; P2, S. 966; P3, S. 323</t>
  </si>
  <si>
    <t xml:space="preserve">Q4-D3</t>
  </si>
  <si>
    <t xml:space="preserve">Das Wort „vertrauliche“ wurde ergänzt, ohne dass dies dokumentiert ist. Dass D3 umgepolt werden muss, steht nicht in den Quellen (der P4-Anhang ist nicht enthalten). Logisch ist die Richtung schlüssig [eigene Bewertung].</t>
  </si>
  <si>
    <t xml:space="preserve">„… zu viele Informationen über unser Unternehmen erhalten würde.“ Die Umpolung als [eigene Bewertung] kennzeichnen.</t>
  </si>
  <si>
    <t xml:space="preserve">D1 Q4 D3</t>
  </si>
  <si>
    <t xml:space="preserve">Q3-TTF-2</t>
  </si>
  <si>
    <t xml:space="preserve">„Eindeutig“ wurde ohne Dokumentation gestrichen.</t>
  </si>
  <si>
    <t xml:space="preserve">„eindeutig“ wieder aufnehmen.</t>
  </si>
  <si>
    <t xml:space="preserve">D1 Q3</t>
  </si>
  <si>
    <t xml:space="preserve">MAILS-32</t>
  </si>
  <si>
    <t xml:space="preserve">„und Angst“ wurde ohne Dokumentation gestrichen. Die Aufzählung im Original ist eindimensional (Beispiele für negative Emotionen), also kein Double-Barreled-Problem.</t>
  </si>
  <si>
    <t xml:space="preserve">„… Gefühle wie Frustration und Angst …“</t>
  </si>
  <si>
    <t xml:space="preserve">S1a/S1b, Item 32</t>
  </si>
  <si>
    <t xml:space="preserve">Q2-PUSF-1</t>
  </si>
  <si>
    <t xml:space="preserve">Der Wechsel von „Energie sparen“ zu „Zeit sparen“ ist zwar gekennzeichnet, aber nicht mit einer Quelle begründet.</t>
  </si>
  <si>
    <t xml:space="preserve">Mit der Definition „benefits provided to the individual“ begründen.</t>
  </si>
  <si>
    <t xml:space="preserve">P2, S. 963, Tab. 1</t>
  </si>
  <si>
    <t xml:space="preserve">Tabelle A, Abschnitt 1</t>
  </si>
  <si>
    <t xml:space="preserve">Sekundärzitate (Mayer et al., 1995; Venkatesh et al., 2012; Goodhue &amp; Thompson, 1995) stehen ohne „zit. n.“. „Vertrauensmodell (Ajzen &amp; Fishbein, 1975)“ ist eine falsche Theoriebezeichnung. Die Trust-Definition ist ohne Auslassungszeichen gekürzt. Die Aussage „zu 100 % validiert“ widerspricht der Kennzeichnung „nicht-validierte Adaption“ (Q2-PUSF-1, MAILS-23/24).</t>
  </si>
  <si>
    <t xml:space="preserve">„zit. n. P4/P2/P3“ ergänzen. Als Theorie „Ajzen &amp; Fishbein (1975), zit. n. P4“ angeben. „[…]“ setzen. Den 100-%-Satz relativieren.</t>
  </si>
  <si>
    <t xml:space="preserve">P4, S. 4, 8; P2, S. 963; P3, S. 320</t>
  </si>
  <si>
    <t xml:space="preserve">Tabelle C, Tabelle B</t>
  </si>
  <si>
    <t xml:space="preserve">Seitenangaben stimmen nicht: P2 H1 steht auf S. 964 (angegeben S. 963), P3 H1/H2 auf S. 322 (angegeben S. 321). Die Items BI-1 und PERF-1 stehen nicht in P3 auf S. 321.</t>
  </si>
  <si>
    <t xml:space="preserve">Seitenzahlen korrigieren.</t>
  </si>
  <si>
    <t xml:space="preserve">P2, S. 964; P3, S. 322</t>
  </si>
  <si>
    <t xml:space="preserve">Befunde je Kriterium und Schwere (berechnet aus Blatt „Befunde“)</t>
  </si>
  <si>
    <t xml:space="preserve">Bezeichnung</t>
  </si>
  <si>
    <t xml:space="preserve">Summe</t>
  </si>
  <si>
    <t xml:space="preserve">Quellenechtheit</t>
  </si>
  <si>
    <t xml:space="preserve">Theorievermischung</t>
  </si>
  <si>
    <t xml:space="preserve">Double-Barreled</t>
  </si>
  <si>
    <t xml:space="preserve">Suggestivität / Verständlichkeit</t>
  </si>
  <si>
    <t xml:space="preserve">Fehlende Quellenangaben</t>
  </si>
  <si>
    <t xml:space="preserve">Kennzahlen</t>
  </si>
  <si>
    <t xml:space="preserve">Geprüfte Items</t>
  </si>
  <si>
    <t xml:space="preserve">Geprüfte Hypothesen</t>
  </si>
  <si>
    <t xml:space="preserve">Befunde gesamt</t>
  </si>
  <si>
    <t xml:space="preserve">Befunde je Item</t>
  </si>
  <si>
    <t xml:space="preserve">Hypothesen mit A-Befund (schwer)</t>
  </si>
  <si>
    <t xml:space="preserve">Manuell gezählt: H3 (Befund Nr. 1).</t>
  </si>
  <si>
    <t xml:space="preserve">Anteil Hypothesen mit A-Befund</t>
  </si>
  <si>
    <t xml:space="preserve">Offene Befunde (Status „offen“)</t>
  </si>
  <si>
    <t xml:space="preserve">Element</t>
  </si>
  <si>
    <t xml:space="preserve">Status</t>
  </si>
  <si>
    <t xml:space="preserve">Bemerkung</t>
  </si>
  <si>
    <t xml:space="preserve">Instruktion für Teilnehmende (Anonymitätshinweis, neutrale Beschreibung von Copilot)</t>
  </si>
  <si>
    <t xml:space="preserve">nicht vorhanden – nicht geprüft</t>
  </si>
  <si>
    <t xml:space="preserve">Kein Befund laut Prüfregel.</t>
  </si>
  <si>
    <t xml:space="preserve">Literaturverzeichnis</t>
  </si>
  <si>
    <t xml:space="preserve">Konstruktzuordnung aller Items laut Katalog</t>
  </si>
  <si>
    <t xml:space="preserve">geprüft – kein Befund</t>
  </si>
  <si>
    <t xml:space="preserve">H1–H7 jeweils innerhalb einer Quelle</t>
  </si>
  <si>
    <t xml:space="preserve">Brückenhypothesen</t>
  </si>
  <si>
    <t xml:space="preserve">Keine Brückenhypothesen vorhanden.</t>
  </si>
  <si>
    <t xml:space="preserve">Auswertung</t>
  </si>
  <si>
    <t xml:space="preserve">Fasst keine Skalen verschiedener Theorien zusammen.</t>
  </si>
  <si>
    <t xml:space="preserve">Polung der Subskalen</t>
  </si>
  <si>
    <t xml:space="preserve">Gleich gepolte Subskalen entsprechen den validierten Originalen.</t>
  </si>
  <si>
    <t xml:space="preserve">ATAI-01, -02, -05</t>
  </si>
  <si>
    <t xml:space="preserve">Originalitems können bleiben: für „KI allgemein“ validiert (S2, S. 112–113).</t>
  </si>
  <si>
    <t xml:space="preserve">ATAI-05 („Arbeitslosigkeit“)</t>
  </si>
  <si>
    <t xml:space="preserve">Wertend, gehört aber zum Konstruktinhalt von Fear.</t>
  </si>
  <si>
    <t xml:space="preserve">Korrekturvorschläge</t>
  </si>
  <si>
    <t xml:space="preserve">erneut gegen 0–D geprüft</t>
  </si>
  <si>
    <t xml:space="preserve">Keiner erzeugt eine Mehrdimensionalität, eine Verneinung oder eine Theorievermischung.</t>
  </si>
</sst>
</file>

<file path=xl/styles.xml><?xml version="1.0" encoding="utf-8"?>
<styleSheet xmlns="http://schemas.openxmlformats.org/spreadsheetml/2006/main">
  <numFmts count="3">
    <numFmt numFmtId="164" formatCode="General"/>
    <numFmt numFmtId="165" formatCode="0.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
      <b val="true"/>
      <sz val="12"/>
      <name val="Arial"/>
      <family val="0"/>
      <charset val="1"/>
    </font>
    <font>
      <sz val="10"/>
      <color rgb="FF0000FF"/>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
      <fill>
        <patternFill>
          <bgColor rgb="FFF4CCCC"/>
        </patternFill>
      </fill>
    </dxf>
    <dxf>
      <fill>
        <patternFill>
          <bgColor rgb="FFFCE5C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2.25" hidden="false" customHeight="true" outlineLevel="0" collapsed="false">
      <c r="A1" s="2" t="s">
        <v>0</v>
      </c>
      <c r="B1" s="3"/>
    </row>
    <row r="2" customFormat="false" ht="15" hidden="false" customHeight="true" outlineLevel="0" collapsed="false">
      <c r="A2" s="4" t="s">
        <v>1</v>
      </c>
      <c r="B2" s="3" t="s">
        <v>2</v>
      </c>
    </row>
    <row r="3" customFormat="false" ht="15" hidden="false" customHeight="true" outlineLevel="0" collapsed="false">
      <c r="A3" s="4" t="s">
        <v>3</v>
      </c>
      <c r="B3" s="3" t="s">
        <v>4</v>
      </c>
    </row>
    <row r="4" customFormat="false" ht="15" hidden="false" customHeight="true" outlineLevel="0" collapsed="false">
      <c r="A4" s="4" t="s">
        <v>5</v>
      </c>
      <c r="B4" s="3" t="s">
        <v>6</v>
      </c>
    </row>
    <row r="5" customFormat="false" ht="15" hidden="false" customHeight="true" outlineLevel="0" collapsed="false">
      <c r="A5" s="4" t="s">
        <v>7</v>
      </c>
      <c r="B5" s="3" t="s">
        <v>8</v>
      </c>
    </row>
    <row r="6" customFormat="false" ht="15" hidden="false" customHeight="true" outlineLevel="0" collapsed="false">
      <c r="A6" s="4" t="s">
        <v>9</v>
      </c>
      <c r="B6" s="3" t="s">
        <v>10</v>
      </c>
    </row>
    <row r="7" customFormat="false" ht="15" hidden="false" customHeight="true" outlineLevel="0" collapsed="false">
      <c r="A7" s="4" t="s">
        <v>11</v>
      </c>
      <c r="B7" s="3" t="s">
        <v>12</v>
      </c>
    </row>
    <row r="8" customFormat="false" ht="15" hidden="false" customHeight="true" outlineLevel="0" collapsed="false">
      <c r="A8" s="4" t="s">
        <v>13</v>
      </c>
      <c r="B8" s="3" t="s">
        <v>14</v>
      </c>
    </row>
    <row r="9" customFormat="false" ht="15" hidden="false" customHeight="true" outlineLevel="0" collapsed="false">
      <c r="A9" s="4" t="s">
        <v>15</v>
      </c>
      <c r="B9" s="3" t="s">
        <v>16</v>
      </c>
    </row>
    <row r="10" customFormat="false" ht="23.25" hidden="false" customHeight="true" outlineLevel="0" collapsed="false">
      <c r="A10" s="4" t="s">
        <v>17</v>
      </c>
      <c r="B10" s="3" t="s">
        <v>18</v>
      </c>
    </row>
    <row r="11" customFormat="false" ht="15" hidden="false" customHeight="true" outlineLevel="0" collapsed="false">
      <c r="A11" s="4" t="s">
        <v>19</v>
      </c>
      <c r="B11" s="3" t="n">
        <v>24</v>
      </c>
    </row>
    <row r="12" customFormat="false" ht="15" hidden="false" customHeight="true" outlineLevel="0" collapsed="false">
      <c r="A12" s="4" t="s">
        <v>20</v>
      </c>
      <c r="B12" s="3" t="s">
        <v>21</v>
      </c>
    </row>
    <row r="13" customFormat="false" ht="15" hidden="false" customHeight="true" outlineLevel="0" collapsed="false">
      <c r="A13" s="4" t="s">
        <v>22</v>
      </c>
      <c r="B13" s="3" t="n">
        <v>7</v>
      </c>
    </row>
    <row r="14" customFormat="false" ht="15" hidden="false" customHeight="true" outlineLevel="0" collapsed="false">
      <c r="A14" s="4" t="s">
        <v>23</v>
      </c>
      <c r="B14" s="3" t="s">
        <v>24</v>
      </c>
    </row>
    <row r="15" customFormat="false" ht="23.25" hidden="false" customHeight="true" outlineLevel="0" collapsed="false">
      <c r="A15" s="4" t="s">
        <v>25</v>
      </c>
      <c r="B15" s="3" t="s">
        <v>26</v>
      </c>
    </row>
    <row r="16" customFormat="false" ht="15" hidden="false" customHeight="true" outlineLevel="0" collapsed="false">
      <c r="A16" s="4" t="s">
        <v>27</v>
      </c>
      <c r="B16"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4"/>
    <col collapsed="false" customWidth="true" hidden="false" outlineLevel="0" max="4" min="4" style="1" width="70"/>
    <col collapsed="false" customWidth="true" hidden="false" outlineLevel="0" max="5" min="5" style="1" width="10"/>
    <col collapsed="false" customWidth="true" hidden="false" outlineLevel="0" max="6" min="6" style="1" width="60"/>
    <col collapsed="false" customWidth="true" hidden="false" outlineLevel="0" max="7" min="7" style="1" width="30"/>
    <col collapsed="false" customWidth="true" hidden="false" outlineLevel="0" max="8" min="8" style="1" width="22"/>
  </cols>
  <sheetData>
    <row r="1" customFormat="false" ht="26.25" hidden="false" customHeight="true" outlineLevel="0" collapsed="false">
      <c r="A1" s="5" t="s">
        <v>29</v>
      </c>
      <c r="B1" s="5" t="s">
        <v>30</v>
      </c>
      <c r="C1" s="5" t="s">
        <v>31</v>
      </c>
      <c r="D1" s="5" t="s">
        <v>32</v>
      </c>
      <c r="E1" s="5" t="s">
        <v>33</v>
      </c>
      <c r="F1" s="5" t="s">
        <v>34</v>
      </c>
      <c r="G1" s="5" t="s">
        <v>35</v>
      </c>
      <c r="H1" s="5" t="s">
        <v>36</v>
      </c>
    </row>
    <row r="2" customFormat="false" ht="34.5" hidden="false" customHeight="true" outlineLevel="0" collapsed="false">
      <c r="A2" s="6" t="n">
        <v>1</v>
      </c>
      <c r="B2" s="6" t="s">
        <v>37</v>
      </c>
      <c r="C2" s="6" t="s">
        <v>38</v>
      </c>
      <c r="D2" s="6" t="s">
        <v>39</v>
      </c>
      <c r="E2" s="6" t="s">
        <v>40</v>
      </c>
      <c r="F2" s="6" t="s">
        <v>41</v>
      </c>
      <c r="G2" s="6" t="s">
        <v>42</v>
      </c>
      <c r="H2" s="6"/>
    </row>
    <row r="3" customFormat="false" ht="34.5" hidden="false" customHeight="true" outlineLevel="0" collapsed="false">
      <c r="A3" s="6" t="n">
        <v>2</v>
      </c>
      <c r="B3" s="6" t="s">
        <v>43</v>
      </c>
      <c r="C3" s="6" t="s">
        <v>44</v>
      </c>
      <c r="D3" s="6" t="s">
        <v>45</v>
      </c>
      <c r="E3" s="6" t="s">
        <v>46</v>
      </c>
      <c r="F3" s="6" t="s">
        <v>47</v>
      </c>
      <c r="G3" s="6" t="s">
        <v>48</v>
      </c>
      <c r="H3" s="6"/>
    </row>
    <row r="4" customFormat="false" ht="45.75" hidden="false" customHeight="true" outlineLevel="0" collapsed="false">
      <c r="A4" s="6" t="n">
        <v>3</v>
      </c>
      <c r="B4" s="6" t="s">
        <v>43</v>
      </c>
      <c r="C4" s="6" t="s">
        <v>49</v>
      </c>
      <c r="D4" s="6" t="s">
        <v>50</v>
      </c>
      <c r="E4" s="6" t="s">
        <v>46</v>
      </c>
      <c r="F4" s="6" t="s">
        <v>51</v>
      </c>
      <c r="G4" s="6" t="s">
        <v>52</v>
      </c>
      <c r="H4" s="6"/>
    </row>
    <row r="5" customFormat="false" ht="45.75" hidden="false" customHeight="true" outlineLevel="0" collapsed="false">
      <c r="A5" s="6" t="n">
        <v>4</v>
      </c>
      <c r="B5" s="6" t="s">
        <v>53</v>
      </c>
      <c r="C5" s="6" t="s">
        <v>54</v>
      </c>
      <c r="D5" s="6" t="s">
        <v>55</v>
      </c>
      <c r="E5" s="6" t="s">
        <v>56</v>
      </c>
      <c r="F5" s="6" t="s">
        <v>57</v>
      </c>
      <c r="G5" s="6" t="s">
        <v>58</v>
      </c>
      <c r="H5" s="6"/>
    </row>
    <row r="6" customFormat="false" ht="34.5" hidden="false" customHeight="true" outlineLevel="0" collapsed="false">
      <c r="A6" s="6" t="n">
        <v>5</v>
      </c>
      <c r="B6" s="6" t="s">
        <v>59</v>
      </c>
      <c r="C6" s="6" t="s">
        <v>60</v>
      </c>
      <c r="D6" s="6" t="s">
        <v>61</v>
      </c>
      <c r="E6" s="6" t="s">
        <v>56</v>
      </c>
      <c r="F6" s="6" t="s">
        <v>62</v>
      </c>
      <c r="G6" s="6" t="s">
        <v>63</v>
      </c>
      <c r="H6" s="6"/>
    </row>
    <row r="7" customFormat="false" ht="23.25" hidden="false" customHeight="true" outlineLevel="0" collapsed="false">
      <c r="A7" s="6" t="n">
        <v>6</v>
      </c>
      <c r="B7" s="6" t="s">
        <v>59</v>
      </c>
      <c r="C7" s="6" t="s">
        <v>64</v>
      </c>
      <c r="D7" s="6" t="s">
        <v>65</v>
      </c>
      <c r="E7" s="6" t="s">
        <v>56</v>
      </c>
      <c r="F7" s="6" t="s">
        <v>66</v>
      </c>
      <c r="G7" s="6" t="s">
        <v>67</v>
      </c>
      <c r="H7" s="6"/>
    </row>
    <row r="8" customFormat="false" ht="45.75" hidden="false" customHeight="true" outlineLevel="0" collapsed="false">
      <c r="A8" s="6" t="n">
        <v>7</v>
      </c>
      <c r="B8" s="6" t="s">
        <v>68</v>
      </c>
      <c r="C8" s="6" t="s">
        <v>69</v>
      </c>
      <c r="D8" s="6" t="s">
        <v>70</v>
      </c>
      <c r="E8" s="6" t="s">
        <v>56</v>
      </c>
      <c r="F8" s="6" t="s">
        <v>71</v>
      </c>
      <c r="G8" s="6" t="s">
        <v>72</v>
      </c>
      <c r="H8" s="6"/>
    </row>
    <row r="9" customFormat="false" ht="34.5" hidden="false" customHeight="true" outlineLevel="0" collapsed="false">
      <c r="A9" s="6" t="n">
        <v>8</v>
      </c>
      <c r="B9" s="6" t="s">
        <v>68</v>
      </c>
      <c r="C9" s="6" t="s">
        <v>69</v>
      </c>
      <c r="D9" s="6" t="s">
        <v>73</v>
      </c>
      <c r="E9" s="6" t="s">
        <v>56</v>
      </c>
      <c r="F9" s="6" t="s">
        <v>74</v>
      </c>
      <c r="G9" s="6" t="s">
        <v>75</v>
      </c>
      <c r="H9" s="6"/>
    </row>
    <row r="10" customFormat="false" ht="57" hidden="false" customHeight="true" outlineLevel="0" collapsed="false">
      <c r="A10" s="6" t="n">
        <v>9</v>
      </c>
      <c r="B10" s="6" t="s">
        <v>68</v>
      </c>
      <c r="C10" s="6" t="s">
        <v>76</v>
      </c>
      <c r="D10" s="6" t="s">
        <v>77</v>
      </c>
      <c r="E10" s="6" t="s">
        <v>56</v>
      </c>
      <c r="F10" s="6" t="s">
        <v>78</v>
      </c>
      <c r="G10" s="6" t="s">
        <v>79</v>
      </c>
      <c r="H10" s="6"/>
    </row>
    <row r="11" customFormat="false" ht="34.5" hidden="false" customHeight="true" outlineLevel="0" collapsed="false">
      <c r="A11" s="6" t="n">
        <v>10</v>
      </c>
      <c r="B11" s="6" t="s">
        <v>68</v>
      </c>
      <c r="C11" s="6" t="s">
        <v>80</v>
      </c>
      <c r="D11" s="6" t="s">
        <v>81</v>
      </c>
      <c r="E11" s="6" t="s">
        <v>56</v>
      </c>
      <c r="F11" s="6" t="s">
        <v>82</v>
      </c>
      <c r="G11" s="6" t="s">
        <v>83</v>
      </c>
      <c r="H11" s="6"/>
    </row>
    <row r="12" customFormat="false" ht="15" hidden="false" customHeight="true" outlineLevel="0" collapsed="false">
      <c r="A12" s="6" t="n">
        <v>11</v>
      </c>
      <c r="B12" s="6" t="s">
        <v>68</v>
      </c>
      <c r="C12" s="6" t="s">
        <v>84</v>
      </c>
      <c r="D12" s="6" t="s">
        <v>85</v>
      </c>
      <c r="E12" s="6" t="s">
        <v>56</v>
      </c>
      <c r="F12" s="6" t="s">
        <v>86</v>
      </c>
      <c r="G12" s="6" t="s">
        <v>87</v>
      </c>
      <c r="H12" s="6"/>
    </row>
    <row r="13" customFormat="false" ht="23.25" hidden="false" customHeight="true" outlineLevel="0" collapsed="false">
      <c r="A13" s="6" t="n">
        <v>12</v>
      </c>
      <c r="B13" s="6" t="s">
        <v>68</v>
      </c>
      <c r="C13" s="6" t="s">
        <v>88</v>
      </c>
      <c r="D13" s="6" t="s">
        <v>89</v>
      </c>
      <c r="E13" s="6" t="s">
        <v>56</v>
      </c>
      <c r="F13" s="6" t="s">
        <v>90</v>
      </c>
      <c r="G13" s="6" t="s">
        <v>91</v>
      </c>
      <c r="H13" s="6"/>
    </row>
    <row r="14" customFormat="false" ht="23.25" hidden="false" customHeight="true" outlineLevel="0" collapsed="false">
      <c r="A14" s="6" t="n">
        <v>13</v>
      </c>
      <c r="B14" s="6" t="s">
        <v>68</v>
      </c>
      <c r="C14" s="6" t="s">
        <v>92</v>
      </c>
      <c r="D14" s="6" t="s">
        <v>93</v>
      </c>
      <c r="E14" s="6" t="s">
        <v>46</v>
      </c>
      <c r="F14" s="6" t="s">
        <v>94</v>
      </c>
      <c r="G14" s="6" t="s">
        <v>95</v>
      </c>
      <c r="H14" s="6"/>
    </row>
    <row r="15" customFormat="false" ht="34.5" hidden="false" customHeight="true" outlineLevel="0" collapsed="false">
      <c r="A15" s="6" t="n">
        <v>14</v>
      </c>
      <c r="B15" s="6" t="s">
        <v>68</v>
      </c>
      <c r="C15" s="6" t="s">
        <v>96</v>
      </c>
      <c r="D15" s="6" t="s">
        <v>97</v>
      </c>
      <c r="E15" s="6" t="s">
        <v>46</v>
      </c>
      <c r="F15" s="6" t="s">
        <v>98</v>
      </c>
      <c r="G15" s="6" t="s">
        <v>99</v>
      </c>
      <c r="H15" s="6"/>
    </row>
    <row r="16" customFormat="false" ht="15" hidden="false" customHeight="true" outlineLevel="0" collapsed="false">
      <c r="A16" s="6" t="n">
        <v>15</v>
      </c>
      <c r="B16" s="6" t="s">
        <v>68</v>
      </c>
      <c r="C16" s="6" t="s">
        <v>100</v>
      </c>
      <c r="D16" s="6" t="s">
        <v>101</v>
      </c>
      <c r="E16" s="6" t="s">
        <v>46</v>
      </c>
      <c r="F16" s="6" t="s">
        <v>102</v>
      </c>
      <c r="G16" s="6" t="s">
        <v>103</v>
      </c>
      <c r="H16" s="6"/>
    </row>
    <row r="17" customFormat="false" ht="23.25" hidden="false" customHeight="true" outlineLevel="0" collapsed="false">
      <c r="A17" s="6" t="n">
        <v>16</v>
      </c>
      <c r="B17" s="6" t="s">
        <v>68</v>
      </c>
      <c r="C17" s="6" t="s">
        <v>104</v>
      </c>
      <c r="D17" s="6" t="s">
        <v>105</v>
      </c>
      <c r="E17" s="6" t="s">
        <v>46</v>
      </c>
      <c r="F17" s="6" t="s">
        <v>106</v>
      </c>
      <c r="G17" s="6" t="s">
        <v>107</v>
      </c>
      <c r="H17" s="6"/>
    </row>
    <row r="18" customFormat="false" ht="34.5" hidden="false" customHeight="true" outlineLevel="0" collapsed="false">
      <c r="A18" s="6" t="n">
        <v>17</v>
      </c>
      <c r="B18" s="6" t="s">
        <v>68</v>
      </c>
      <c r="C18" s="6" t="s">
        <v>108</v>
      </c>
      <c r="D18" s="6" t="s">
        <v>109</v>
      </c>
      <c r="E18" s="6" t="s">
        <v>46</v>
      </c>
      <c r="F18" s="6" t="s">
        <v>110</v>
      </c>
      <c r="G18" s="6" t="s">
        <v>111</v>
      </c>
      <c r="H18" s="6"/>
    </row>
    <row r="19" customFormat="false" ht="23.25" hidden="false" customHeight="true" outlineLevel="0" collapsed="false">
      <c r="A19" s="6" t="n">
        <v>18</v>
      </c>
      <c r="B19" s="6" t="s">
        <v>68</v>
      </c>
      <c r="C19" s="6" t="s">
        <v>112</v>
      </c>
      <c r="D19" s="6" t="s">
        <v>113</v>
      </c>
      <c r="E19" s="6" t="s">
        <v>46</v>
      </c>
      <c r="F19" s="6" t="s">
        <v>114</v>
      </c>
      <c r="G19" s="6" t="s">
        <v>115</v>
      </c>
      <c r="H19" s="6"/>
    </row>
    <row r="20" customFormat="false" ht="34.5" hidden="false" customHeight="true" outlineLevel="0" collapsed="false"/>
    <row r="21" customFormat="false" ht="34.5" hidden="false" customHeight="true" outlineLevel="0" collapsed="false"/>
    <row r="22" customFormat="false" ht="34.5" hidden="false" customHeight="true" outlineLevel="0" collapsed="false"/>
    <row r="23" customFormat="false" ht="23.25" hidden="false" customHeight="true" outlineLevel="0" collapsed="false"/>
    <row r="24" customFormat="false" ht="34.5" hidden="false" customHeight="true" outlineLevel="0" collapsed="false"/>
    <row r="25" customFormat="false" ht="23.25" hidden="false" customHeight="true" outlineLevel="0" collapsed="false"/>
    <row r="26" customFormat="false" ht="23.25" hidden="false" customHeight="true" outlineLevel="0" collapsed="false"/>
    <row r="27" customFormat="false" ht="15" hidden="false" customHeight="true" outlineLevel="0" collapsed="false"/>
    <row r="28" customFormat="false" ht="23.25" hidden="false" customHeight="true" outlineLevel="0" collapsed="false"/>
    <row r="29" customFormat="false" ht="15" hidden="false" customHeight="true" outlineLevel="0" collapsed="false"/>
  </sheetData>
  <autoFilter ref="A1:H29"/>
  <conditionalFormatting sqref="E2:E79">
    <cfRule type="cellIs" priority="2" operator="equal" aboveAverage="0" equalAverage="0" bottom="0" percent="0" rank="0" text="" dxfId="7">
      <formula>"schwer"</formula>
    </cfRule>
    <cfRule type="cellIs" priority="3" operator="equal" aboveAverage="0" equalAverage="0" bottom="0" percent="0" rank="0" text="" dxfId="8">
      <formula>"mittel"</formula>
    </cfRule>
    <cfRule type="cellIs" priority="4" operator="equal" aboveAverage="0" equalAverage="0" bottom="0" percent="0" rank="0" text="" dxfId="9">
      <formula>"gering"</formula>
    </cfRule>
  </conditionalFormatting>
  <dataValidations count="3">
    <dataValidation allowBlank="false" errorStyle="stop" operator="between" showDropDown="false" showErrorMessage="false" showInputMessage="false" sqref="E2:E79" type="list">
      <formula1>"schwer,mittel,gering"</formula1>
      <formula2>0</formula2>
    </dataValidation>
    <dataValidation allowBlank="false" errorStyle="stop" operator="between" showDropDown="false" showErrorMessage="false" showInputMessage="false" sqref="B2:B79" type="list">
      <formula1>"0,A,B,C,D"</formula1>
      <formula2>0</formula2>
    </dataValidation>
    <dataValidation allowBlank="false" errorStyle="stop" operator="between" showDropDown="false" showErrorMessage="false" showInputMessage="false" sqref="H2:H79" type="list">
      <formula1>"offen,in Prompt V3 überarbeitet,behoben im Folgelauf,nicht übernommen"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36"/>
    <col collapsed="false" customWidth="true" hidden="false" outlineLevel="0" max="6" min="3" style="1" width="10"/>
  </cols>
  <sheetData>
    <row r="1" customFormat="false" ht="15" hidden="false" customHeight="true" outlineLevel="0" collapsed="false">
      <c r="A1" s="7" t="s">
        <v>116</v>
      </c>
    </row>
    <row r="3" customFormat="false" ht="15" hidden="false" customHeight="true" outlineLevel="0" collapsed="false">
      <c r="A3" s="5" t="s">
        <v>30</v>
      </c>
      <c r="B3" s="5" t="s">
        <v>117</v>
      </c>
      <c r="C3" s="5" t="s">
        <v>40</v>
      </c>
      <c r="D3" s="5" t="s">
        <v>56</v>
      </c>
      <c r="E3" s="5" t="s">
        <v>46</v>
      </c>
      <c r="F3" s="5" t="s">
        <v>118</v>
      </c>
    </row>
    <row r="4" customFormat="false" ht="15" hidden="false" customHeight="true" outlineLevel="0" collapsed="false">
      <c r="A4" s="8" t="s">
        <v>43</v>
      </c>
      <c r="B4" s="8" t="s">
        <v>119</v>
      </c>
      <c r="C4" s="8" t="n">
        <f aca="false">COUNTIFS(Befunde!$B$2:$B$500,$A4,Befunde!$E$2:$E$500,C$3)</f>
        <v>0</v>
      </c>
      <c r="D4" s="8" t="n">
        <f aca="false">COUNTIFS(Befunde!$B$2:$B$500,$A4,Befunde!$E$2:$E$500,D$3)</f>
        <v>0</v>
      </c>
      <c r="E4" s="8" t="n">
        <f aca="false">COUNTIFS(Befunde!$B$2:$B$500,$A4,Befunde!$E$2:$E$500,E$3)</f>
        <v>2</v>
      </c>
      <c r="F4" s="8" t="n">
        <f aca="false">SUM(C4:E4)</f>
        <v>2</v>
      </c>
    </row>
    <row r="5" customFormat="false" ht="15" hidden="false" customHeight="true" outlineLevel="0" collapsed="false">
      <c r="A5" s="8" t="s">
        <v>37</v>
      </c>
      <c r="B5" s="8" t="s">
        <v>120</v>
      </c>
      <c r="C5" s="8" t="n">
        <f aca="false">COUNTIFS(Befunde!$B$2:$B$500,$A5,Befunde!$E$2:$E$500,C$3)</f>
        <v>1</v>
      </c>
      <c r="D5" s="8" t="n">
        <f aca="false">COUNTIFS(Befunde!$B$2:$B$500,$A5,Befunde!$E$2:$E$500,D$3)</f>
        <v>0</v>
      </c>
      <c r="E5" s="8" t="n">
        <f aca="false">COUNTIFS(Befunde!$B$2:$B$500,$A5,Befunde!$E$2:$E$500,E$3)</f>
        <v>0</v>
      </c>
      <c r="F5" s="8" t="n">
        <f aca="false">SUM(C5:E5)</f>
        <v>1</v>
      </c>
    </row>
    <row r="6" customFormat="false" ht="15" hidden="false" customHeight="true" outlineLevel="0" collapsed="false">
      <c r="A6" s="8" t="s">
        <v>53</v>
      </c>
      <c r="B6" s="8" t="s">
        <v>121</v>
      </c>
      <c r="C6" s="8" t="n">
        <f aca="false">COUNTIFS(Befunde!$B$2:$B$500,$A6,Befunde!$E$2:$E$500,C$3)</f>
        <v>0</v>
      </c>
      <c r="D6" s="8" t="n">
        <f aca="false">COUNTIFS(Befunde!$B$2:$B$500,$A6,Befunde!$E$2:$E$500,D$3)</f>
        <v>1</v>
      </c>
      <c r="E6" s="8" t="n">
        <f aca="false">COUNTIFS(Befunde!$B$2:$B$500,$A6,Befunde!$E$2:$E$500,E$3)</f>
        <v>0</v>
      </c>
      <c r="F6" s="8" t="n">
        <f aca="false">SUM(C6:E6)</f>
        <v>1</v>
      </c>
    </row>
    <row r="7" customFormat="false" ht="15" hidden="false" customHeight="true" outlineLevel="0" collapsed="false">
      <c r="A7" s="8" t="s">
        <v>59</v>
      </c>
      <c r="B7" s="8" t="s">
        <v>122</v>
      </c>
      <c r="C7" s="8" t="n">
        <f aca="false">COUNTIFS(Befunde!$B$2:$B$500,$A7,Befunde!$E$2:$E$500,C$3)</f>
        <v>0</v>
      </c>
      <c r="D7" s="8" t="n">
        <f aca="false">COUNTIFS(Befunde!$B$2:$B$500,$A7,Befunde!$E$2:$E$500,D$3)</f>
        <v>2</v>
      </c>
      <c r="E7" s="8" t="n">
        <f aca="false">COUNTIFS(Befunde!$B$2:$B$500,$A7,Befunde!$E$2:$E$500,E$3)</f>
        <v>0</v>
      </c>
      <c r="F7" s="8" t="n">
        <f aca="false">SUM(C7:E7)</f>
        <v>2</v>
      </c>
    </row>
    <row r="8" customFormat="false" ht="15" hidden="false" customHeight="true" outlineLevel="0" collapsed="false">
      <c r="A8" s="8" t="s">
        <v>68</v>
      </c>
      <c r="B8" s="8" t="s">
        <v>123</v>
      </c>
      <c r="C8" s="8" t="n">
        <f aca="false">COUNTIFS(Befunde!$B$2:$B$500,$A8,Befunde!$E$2:$E$500,C$3)</f>
        <v>0</v>
      </c>
      <c r="D8" s="8" t="n">
        <f aca="false">COUNTIFS(Befunde!$B$2:$B$500,$A8,Befunde!$E$2:$E$500,D$3)</f>
        <v>6</v>
      </c>
      <c r="E8" s="8" t="n">
        <f aca="false">COUNTIFS(Befunde!$B$2:$B$500,$A8,Befunde!$E$2:$E$500,E$3)</f>
        <v>6</v>
      </c>
      <c r="F8" s="8" t="n">
        <f aca="false">SUM(C8:E8)</f>
        <v>12</v>
      </c>
    </row>
    <row r="9" customFormat="false" ht="15" hidden="false" customHeight="true" outlineLevel="0" collapsed="false">
      <c r="A9" s="9" t="s">
        <v>118</v>
      </c>
      <c r="B9" s="9"/>
      <c r="C9" s="9" t="n">
        <f aca="false">SUM(C4:C8)</f>
        <v>1</v>
      </c>
      <c r="D9" s="9" t="n">
        <f aca="false">SUM(D4:D8)</f>
        <v>9</v>
      </c>
      <c r="E9" s="9" t="n">
        <f aca="false">SUM(E4:E8)</f>
        <v>8</v>
      </c>
      <c r="F9" s="9" t="n">
        <f aca="false">SUM(F4:F8)</f>
        <v>18</v>
      </c>
    </row>
    <row r="11" customFormat="false" ht="15" hidden="false" customHeight="true" outlineLevel="0" collapsed="false">
      <c r="A11" s="7" t="s">
        <v>124</v>
      </c>
    </row>
    <row r="12" customFormat="false" ht="15" hidden="false" customHeight="true" outlineLevel="0" collapsed="false">
      <c r="A12" s="6" t="s">
        <v>125</v>
      </c>
      <c r="B12" s="8" t="n">
        <f aca="false">'Lauf-Info'!B11</f>
        <v>24</v>
      </c>
    </row>
    <row r="13" customFormat="false" ht="15" hidden="false" customHeight="true" outlineLevel="0" collapsed="false">
      <c r="A13" s="6" t="s">
        <v>126</v>
      </c>
      <c r="B13" s="8" t="n">
        <f aca="false">'Lauf-Info'!B13</f>
        <v>7</v>
      </c>
    </row>
    <row r="14" customFormat="false" ht="15" hidden="false" customHeight="true" outlineLevel="0" collapsed="false">
      <c r="A14" s="6" t="s">
        <v>127</v>
      </c>
      <c r="B14" s="8" t="n">
        <f aca="false">F9</f>
        <v>18</v>
      </c>
    </row>
    <row r="15" customFormat="false" ht="15" hidden="false" customHeight="true" outlineLevel="0" collapsed="false">
      <c r="A15" s="6" t="s">
        <v>128</v>
      </c>
      <c r="B15" s="10" t="n">
        <f aca="false">IFERROR(F9/B12,0)</f>
        <v>0.75</v>
      </c>
    </row>
    <row r="16" customFormat="false" ht="15" hidden="false" customHeight="true" outlineLevel="0" collapsed="false">
      <c r="A16" s="6" t="s">
        <v>129</v>
      </c>
      <c r="B16" s="11" t="n">
        <v>1</v>
      </c>
      <c r="C16" s="12" t="s">
        <v>130</v>
      </c>
    </row>
    <row r="17" customFormat="false" ht="23.25" hidden="false" customHeight="true" outlineLevel="0" collapsed="false">
      <c r="A17" s="6" t="s">
        <v>131</v>
      </c>
      <c r="B17" s="13" t="n">
        <f aca="false">IFERROR(B16/B13,0)</f>
        <v>0.142857142857143</v>
      </c>
    </row>
    <row r="18" customFormat="false" ht="15" hidden="false" customHeight="true" outlineLevel="0" collapsed="false">
      <c r="A18" s="6" t="s">
        <v>132</v>
      </c>
      <c r="B18" s="8" t="n">
        <f aca="false">COUNTIF(Befunde!$H$2:$H$500,"offen")</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70"/>
  </cols>
  <sheetData>
    <row r="1" customFormat="false" ht="15" hidden="false" customHeight="true" outlineLevel="0" collapsed="false">
      <c r="A1" s="5" t="s">
        <v>133</v>
      </c>
      <c r="B1" s="5" t="s">
        <v>134</v>
      </c>
      <c r="C1" s="5" t="s">
        <v>135</v>
      </c>
    </row>
    <row r="2" customFormat="false" ht="23.25" hidden="false" customHeight="true" outlineLevel="0" collapsed="false">
      <c r="A2" s="6" t="s">
        <v>136</v>
      </c>
      <c r="B2" s="6" t="s">
        <v>137</v>
      </c>
      <c r="C2" s="6" t="s">
        <v>138</v>
      </c>
    </row>
    <row r="3" customFormat="false" ht="15" hidden="false" customHeight="true" outlineLevel="0" collapsed="false">
      <c r="A3" s="6" t="s">
        <v>139</v>
      </c>
      <c r="B3" s="6" t="s">
        <v>137</v>
      </c>
      <c r="C3" s="6" t="s">
        <v>138</v>
      </c>
    </row>
    <row r="4" customFormat="false" ht="23.25" hidden="false" customHeight="true" outlineLevel="0" collapsed="false">
      <c r="A4" s="6" t="s">
        <v>140</v>
      </c>
      <c r="B4" s="6" t="s">
        <v>141</v>
      </c>
      <c r="C4" s="6"/>
    </row>
    <row r="5" customFormat="false" ht="15" hidden="false" customHeight="true" outlineLevel="0" collapsed="false">
      <c r="A5" s="6" t="s">
        <v>142</v>
      </c>
      <c r="B5" s="6" t="s">
        <v>141</v>
      </c>
      <c r="C5" s="6"/>
    </row>
    <row r="6" customFormat="false" ht="15" hidden="false" customHeight="true" outlineLevel="0" collapsed="false">
      <c r="A6" s="6" t="s">
        <v>143</v>
      </c>
      <c r="B6" s="6" t="s">
        <v>141</v>
      </c>
      <c r="C6" s="6" t="s">
        <v>144</v>
      </c>
    </row>
    <row r="7" customFormat="false" ht="15" hidden="false" customHeight="false" outlineLevel="0" collapsed="false">
      <c r="A7" s="6" t="s">
        <v>145</v>
      </c>
      <c r="B7" s="6" t="s">
        <v>141</v>
      </c>
      <c r="C7" s="6" t="s">
        <v>146</v>
      </c>
    </row>
    <row r="8" customFormat="false" ht="15" hidden="false" customHeight="false" outlineLevel="0" collapsed="false">
      <c r="A8" s="6" t="s">
        <v>147</v>
      </c>
      <c r="B8" s="6" t="s">
        <v>141</v>
      </c>
      <c r="C8" s="6" t="s">
        <v>148</v>
      </c>
    </row>
    <row r="9" customFormat="false" ht="15" hidden="false" customHeight="false" outlineLevel="0" collapsed="false">
      <c r="A9" s="6" t="s">
        <v>149</v>
      </c>
      <c r="B9" s="6" t="s">
        <v>141</v>
      </c>
      <c r="C9" s="6" t="s">
        <v>150</v>
      </c>
    </row>
    <row r="10" customFormat="false" ht="15" hidden="false" customHeight="false" outlineLevel="0" collapsed="false">
      <c r="A10" s="6" t="s">
        <v>151</v>
      </c>
      <c r="B10" s="6" t="s">
        <v>141</v>
      </c>
      <c r="C10" s="6" t="s">
        <v>152</v>
      </c>
    </row>
    <row r="11" customFormat="false" ht="23.85" hidden="false" customHeight="false" outlineLevel="0" collapsed="false">
      <c r="A11" s="6" t="s">
        <v>153</v>
      </c>
      <c r="B11" s="6" t="s">
        <v>154</v>
      </c>
      <c r="C11" s="6"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2026-10-16T11:21:06Z</dcterms:created>
  <dc:creator>openpyxl</dc:creator>
  <dc:description/>
  <dc:language>en-US</dc:language>
  <cp:lastModifiedBy/>
  <dcterms:modified xsi:type="dcterms:W3CDTF">2026-10-16T12:27:12Z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