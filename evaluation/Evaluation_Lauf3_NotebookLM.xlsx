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f-Info" sheetId="1" state="visible" r:id="rId3"/>
    <sheet name="Befunde" sheetId="2" state="visible" r:id="rId4"/>
    <sheet name="Übersicht" sheetId="3" state="visible" r:id="rId5"/>
    <sheet name="Nicht geprüft" sheetId="4" state="visible" r:id="rId6"/>
  </sheets>
  <definedNames>
    <definedName function="false" hidden="true" localSheetId="1" name="_xlnm._FilterDatabase" vbProcedure="false">Befunde!$A$1:$H$29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<sst xmlns="http://schemas.openxmlformats.org/spreadsheetml/2006/main" count="278" uniqueCount="189">
  <si>
    <t xml:space="preserve">Evaluationsdatei – Fragebogenlauf</t>
  </si>
  <si>
    <t xml:space="preserve">Lauf</t>
  </si>
  <si>
    <t xml:space="preserve">Lauf 3 – NotebookLM</t>
  </si>
  <si>
    <t xml:space="preserve">Geprüfte Datei</t>
  </si>
  <si>
    <t xml:space="preserve">KI-Readiness-Fragebogen_Lauf_3_NotebookLM.docx</t>
  </si>
  <si>
    <t xml:space="preserve">Zugrunde liegender Prompt</t>
  </si>
  <si>
    <t xml:space="preserve">Prompt Version 3</t>
  </si>
  <si>
    <t xml:space="preserve">Fall</t>
  </si>
  <si>
    <t xml:space="preserve">Microsoft Copilot · Beschäftigte ohne KI-Fachausbildung · vor der Einführung · Akzeptanz der geplanten Nutzung</t>
  </si>
  <si>
    <t xml:space="preserve">Prüfende Instanz</t>
  </si>
  <si>
    <t xml:space="preserve">Claude (unabhängige Gutachterrolle, Prüfprompt mit Kriterien 0–D)</t>
  </si>
  <si>
    <t xml:space="preserve">Prüfdatum</t>
  </si>
  <si>
    <t xml:space="preserve">15.10.2026</t>
  </si>
  <si>
    <t xml:space="preserve">Prüfgrundlage</t>
  </si>
  <si>
    <t xml:space="preserve">D1 Itemkatalog (Fragebogen 1–5 zu P1–P5); S1a, S1b (MAILS); S2 (ATAI); P2, P3, P4</t>
  </si>
  <si>
    <t xml:space="preserve">Prüfkriterien</t>
  </si>
  <si>
    <t xml:space="preserve">0 Quellenechtheit · A Theorievermischung · B Double-Barreled · C Suggestivität/Verständlichkeit · D Fehlende Quellenangaben</t>
  </si>
  <si>
    <t xml:space="preserve">Schweregrade</t>
  </si>
  <si>
    <t xml:space="preserve">schwer = misst nicht, was es messen soll (immer bei 0-Erfindung und A) · mittel = Validität/Nachvollziehbarkeit eingeschränkt · gering = formale/sprachliche Unschärfe</t>
  </si>
  <si>
    <t xml:space="preserve">Geprüfte Items (Anzahl)</t>
  </si>
  <si>
    <t xml:space="preserve">Itemverteilung</t>
  </si>
  <si>
    <t xml:space="preserve">Q4 (P4): 9 · Q2 (P2): 9 · Q3 (P3): 6 · MAILS (S1a/S1b): 6 · ATAI (S2): 5</t>
  </si>
  <si>
    <t xml:space="preserve">Geprüfte Hypothesen (Anzahl)</t>
  </si>
  <si>
    <t xml:space="preserve">Wichtigste Schwäche</t>
  </si>
  <si>
    <t xml:space="preserve">Bei 7 von 11 Hypothesen (H3, H7–H11) wird das Kriterium mit Items einer anderen Theorie oder gar nicht gemessen.</t>
  </si>
  <si>
    <t xml:space="preserve">Abgeleitete Prompt-Regel</t>
  </si>
  <si>
    <t xml:space="preserve">Hypothese nur, wenn Prädiktor und Kriterium mit Items derselben Quelle im Fragebogen erhoben werden; vor Ausgabe per Zuordnung Hypothese → Item-IDs → Quelle prüfen.</t>
  </si>
  <si>
    <t xml:space="preserve">Umsetzung im Prompt</t>
  </si>
  <si>
    <t xml:space="preserve">In der überarbeiteten Fassung von Prompt V3 berücksichtigt (Abschnitt Hypothesen, Tabelle C mit Prädiktor-/Kriterium-Items).</t>
  </si>
  <si>
    <t xml:space="preserve">Nr.</t>
  </si>
  <si>
    <t xml:space="preserve">Kriterium</t>
  </si>
  <si>
    <t xml:space="preserve">Fundstelle (Item-ID)</t>
  </si>
  <si>
    <t xml:space="preserve">Befund</t>
  </si>
  <si>
    <t xml:space="preserve">Schwere</t>
  </si>
  <si>
    <t xml:space="preserve">Korrekturvorschlag</t>
  </si>
  <si>
    <t xml:space="preserve">Beleg</t>
  </si>
  <si>
    <t xml:space="preserve">Status Prompt-Revision</t>
  </si>
  <si>
    <t xml:space="preserve">0</t>
  </si>
  <si>
    <t xml:space="preserve">Q2-*, Q3-TTF-1–3, Q3-PERF-1–3</t>
  </si>
  <si>
    <t xml:space="preserve">Item-IDs existieren nicht im Katalog: D1 nummeriert P2 nur mit (1)–(4) je Konstrukt, P3 hat keine IDs. Zuordnung nur über den Wortlaut möglich; die Wortlaute stimmen überein.</t>
  </si>
  <si>
    <t xml:space="preserve">gering</t>
  </si>
  <si>
    <t xml:space="preserve">IDs auf Katalogbezeichnung umstellen (z. B. „Q2-9(1)“, „Q3-TTF-Intellective(1)“).</t>
  </si>
  <si>
    <t xml:space="preserve">D1, Questionnaire 2 Nr. 1, 9, 10; Questionnaire 3 TTF/PERF</t>
  </si>
  <si>
    <t xml:space="preserve">in Prompt V3 überarbeitet</t>
  </si>
  <si>
    <t xml:space="preserve">MAILS-32, -33, -34</t>
  </si>
  <si>
    <t xml:space="preserve">Zitierte Originale folgen dem Anhang von S1b („everyday …“); das Testmanual S1a hat einen anderen Wortlaut („doing things with AI“, „different purposes“). Abweichung nicht dokumentiert.</t>
  </si>
  <si>
    <t xml:space="preserve">Eine Referenzfassung festlegen (S1a als Testmanual) und angeben.</t>
  </si>
  <si>
    <t xml:space="preserve">S1a Items 32–34; S1b Appendix</t>
  </si>
  <si>
    <t xml:space="preserve">A</t>
  </si>
  <si>
    <t xml:space="preserve">Q3-TTF-1–3</t>
  </si>
  <si>
    <t xml:space="preserve">Nur Fit-Items für intellektuelle Aufgaben. P3 misst TTF aufgabenspezifisch mit Filter (nur Aufgabentypen ≥ monatlich, 6-stufige TC-Frage) und schloss „Intellective“ wegen unzureichender Ladung aus dem finalen Modell aus. Ohne Filter antworten auch Personen ohne solche Aufgaben. Misst TTF nicht wie validiert.</t>
  </si>
  <si>
    <t xml:space="preserve">schwer</t>
  </si>
  <si>
    <t xml:space="preserve">TC-Häufigkeitsitems und Filterlogik aus P3 übernehmen; Fit-Items der im finalen Modell verbliebenen Typen (Conflict, Contest, Creativity, MixedMotive) verwenden. Alternativ Konstrukt in „Fit für intellektuelle Aufgaben“ umbenennen und Einschränkung dokumentieren.</t>
  </si>
  <si>
    <t xml:space="preserve">P3, S. 5 (Filter), S. 6 (Ausschluss Intellective)</t>
  </si>
  <si>
    <t xml:space="preserve">Q4-T1</t>
  </si>
  <si>
    <t xml:space="preserve">Original misst die Bereitschaft, alle Prozesse vollständig autonom abzugeben (Vertrauen als Kontrollverzicht). Adaption („bestimmte Arbeitsaufgaben zur automatisierten Unterstützung“) streicht den Kontrollverzicht; Item nähert sich der Nutzungsabsicht an.</t>
  </si>
  <si>
    <t xml:space="preserve">„Ich wäre bereit, Arbeitsaufgaben ohne eigene Kontrolle von Microsoft Copilot erledigen zu lassen.“</t>
  </si>
  <si>
    <t xml:space="preserve">P4, S. 8; D1 Q4 T1</t>
  </si>
  <si>
    <t xml:space="preserve">H3</t>
  </si>
  <si>
    <t xml:space="preserve">Prädiktor Trust aus P4 (H4); Kriterium Intention to use nur mit P2-Items (UTAUT2/RAA) gemessen. P4-Items I1–I3 fehlen. Theorievermischung.</t>
  </si>
  <si>
    <t xml:space="preserve">P4-Items I1–I3 adaptiert aufnehmen (z. B. „Ich beabsichtige, Microsoft Copilot künftig bei meiner Arbeit einzusetzen.“); H3 nur damit testen, getrennt von P2-INT auswerten.</t>
  </si>
  <si>
    <t xml:space="preserve">P4, S. 7–8; D1 Q4 I1–I3</t>
  </si>
  <si>
    <t xml:space="preserve">H7</t>
  </si>
  <si>
    <t xml:space="preserve">Kriterium BI aus P3 (3 Items, UTAUT-basiert) fehlt im Fragebogen; messbar nur über P2-INT, also mit anderer Theorie.</t>
  </si>
  <si>
    <t xml:space="preserve">P3-BI-Items adaptieren (z. B. „Ich beabsichtige, Microsoft Copilot künftig für meine Aufgaben einzusetzen.“).</t>
  </si>
  <si>
    <t xml:space="preserve">P3, S. 5; D1 Q3 BI</t>
  </si>
  <si>
    <t xml:space="preserve">H8</t>
  </si>
  <si>
    <t xml:space="preserve">Zwei Kriterien (Einstellung, Nutzungsbereitschaft); in S1b mit GAAIS und Neyer et al. (2012) gemessen, beide fehlen. Korrelationen in S1b Tab. 2 gelten für AI Self-Efficacy 2. Ordnung (inkl. Learning), erhoben wird nur Problem Solving. Negative Einstellung korrelierte nicht mit AI Self-Efficacy.</t>
  </si>
  <si>
    <t xml:space="preserve">Streichen oder in H8a/H8b aufteilen; Kriterien aus S1b aufnehmen (zit. n. Carolus et al., 2023); Subskala korrekt benennen.</t>
  </si>
  <si>
    <t xml:space="preserve">S1b, S. 6–7, Tab. 2</t>
  </si>
  <si>
    <t xml:space="preserve">H9</t>
  </si>
  <si>
    <t xml:space="preserve">Kriterium „Verhaltenskontrolle“ nicht gemessen. In S1b nur konzeptionelle Annahme („We suggest …“), keine geprüfte Hypothese.</t>
  </si>
  <si>
    <t xml:space="preserve">„AI Emotion Regulation korreliert positiv mit der wahrgenommenen Kontrolle über neue Technologien“ + Kontroll-Subskala nach Neyer et al. (2012, zit. n. Carolus et al., 2023) aufnehmen; sonst streichen.</t>
  </si>
  <si>
    <t xml:space="preserve">S1b, S. 3–4, S. 6–7</t>
  </si>
  <si>
    <t xml:space="preserve">H10, H11</t>
  </si>
  <si>
    <t xml:space="preserve">Kriterium „Nutzungsbereitschaft im Arbeitskontext“ nicht gemessen. S2 Tab. 4 bezieht sich auf konkrete Produkte (selbstfahrende Autos, Siri, Alexa, Pepper, Erica), nicht auf Arbeit. Mit P2-INT entstünde eine Brückenhypothese mit Theoriewechsel und anderer Spezifität. H11: Fear-Korrelationen in DE nach Korrektur nicht durchgehend signifikant.</t>
  </si>
  <si>
    <t xml:space="preserve">Auf S2-Befund eingrenzen („… Bereitschaft, spezifische KI-Produkte zu nutzen“) und S2-Produktitems aufnehmen; alternativ als Brückenhypothese kennzeichnen und Spezifitätsunterschied begründen.</t>
  </si>
  <si>
    <t xml:space="preserve">S2, S. 113–115, Tab. 4/5</t>
  </si>
  <si>
    <t xml:space="preserve">B</t>
  </si>
  <si>
    <t xml:space="preserve">Q4-T2</t>
  </si>
  <si>
    <t xml:space="preserve">Koppelt Feststellung („bedarf menschlicher Kontrolle“) und Norm („sollte nicht ohne Überprüfung …“); zusätzlich doppelte Verneinung „nicht ohne“ (C). Keine itembezogene Rechtfertigung für Beibehaltung in P4.</t>
  </si>
  <si>
    <t xml:space="preserve">mittel</t>
  </si>
  <si>
    <t xml:space="preserve">„Microsoft Copilot sollte nur mit menschlicher Überprüfung im Arbeitsalltag eingesetzt werden.“ (R)</t>
  </si>
  <si>
    <t xml:space="preserve">D1 Q4 T2</t>
  </si>
  <si>
    <t xml:space="preserve">Q4-T4</t>
  </si>
  <si>
    <t xml:space="preserve">Ergänzung „und Vorschlägen“ nicht im Original; zwei Gegenstände.</t>
  </si>
  <si>
    <t xml:space="preserve">„Ich würde den Antworten von Microsoft Copilot vertrauen.“</t>
  </si>
  <si>
    <t xml:space="preserve">D1 Q4 T4</t>
  </si>
  <si>
    <t xml:space="preserve">Q2-INT-3</t>
  </si>
  <si>
    <t xml:space="preserve">Zusatzbedingung „sobald er verfügbar ist“ koppelt Absicht an Zeitpunkt; „definitely“ fehlt, Abstufung zu INT-1/2 geht verloren.</t>
  </si>
  <si>
    <t xml:space="preserve">„Ich werde Microsoft Copilot künftig bestimmt bei meiner Arbeit nutzen.“ (Verstärker aus validiertem Original)</t>
  </si>
  <si>
    <t xml:space="preserve">D1 Q2 Nr. 1(3)</t>
  </si>
  <si>
    <t xml:space="preserve">C</t>
  </si>
  <si>
    <t xml:space="preserve">MAILS-34</t>
  </si>
  <si>
    <t xml:space="preserve">Indikativ im Relativsatz („die entsteht, wenn ich … nutze“) setzt Nutzung und Euphorie voraus; verletzt die eigene Pre-Adoption-Regel.</t>
  </si>
  <si>
    <t xml:space="preserve">„Ich könnte meine Euphorie kontrollieren, falls sie bei der Nutzung von Microsoft Copilot entstehen würde.“</t>
  </si>
  <si>
    <t xml:space="preserve">S1b Appendix Item 34</t>
  </si>
  <si>
    <t xml:space="preserve">Q4-D1</t>
  </si>
  <si>
    <t xml:space="preserve">„Keine Bedenken, dass … weitergibt“ hat zwei Lesarten (keine Sorge vor Weitergabe vs. kein Zweifel an Weitergabe); Polung unklar. Original ebenso mehrdeutig.</t>
  </si>
  <si>
    <t xml:space="preserve">„Ich gehe davon aus, dass Microsoft Copilot unsere eingegebenen unternehmensinternen Informationen nicht an Dritte weitergeben würde.“ (als Adaption I dokumentieren)</t>
  </si>
  <si>
    <t xml:space="preserve">D1 Q4 D1</t>
  </si>
  <si>
    <t xml:space="preserve">D</t>
  </si>
  <si>
    <t xml:space="preserve">Q3-TTF-2</t>
  </si>
  <si>
    <t xml:space="preserve">„eindeutig“ gestrichen; Änderung nicht dokumentiert (nur K, I).</t>
  </si>
  <si>
    <t xml:space="preserve">„eindeutig“ wieder einfügen.</t>
  </si>
  <si>
    <t xml:space="preserve">D1 Q3 Intellective (2)</t>
  </si>
  <si>
    <t xml:space="preserve">MAILS-33</t>
  </si>
  <si>
    <t xml:space="preserve">Aus „frustrate or frighten“ wurde nur „frustrieren“; Angstkomponente fehlt, Kürzung nicht dokumentiert.</t>
  </si>
  <si>
    <t xml:space="preserve">„… wenn mich die Arbeit mit Microsoft Copilot frustrieren oder ängstigen würde.“ (Begriffspaar durch Validierung gedeckt, α = .71)</t>
  </si>
  <si>
    <t xml:space="preserve">S1a/S1b Item 33; S1b, S. 6</t>
  </si>
  <si>
    <t xml:space="preserve">MAILS-23–25, 32–34</t>
  </si>
  <si>
    <t xml:space="preserve">MAILS ist kontextunabhängig für KI allgemein validiert. „AI“ → „Microsoft Copilot“ macht daraus Selbstwirksamkeit für ein konkretes, unbekanntes System; nicht begründet.</t>
  </si>
  <si>
    <t xml:space="preserve">„KI“ beibehalten oder systemspezifische Fassung als nicht validierte Adaption kennzeichnen und begründen.</t>
  </si>
  <si>
    <t xml:space="preserve">S1b, S. 8</t>
  </si>
  <si>
    <t xml:space="preserve">Q2-PUSF-1, -2</t>
  </si>
  <si>
    <t xml:space="preserve">Inhalt ausgetauscht (Energie/Stromrechnung → Zeit/Effizienz), nur als K/I gekennzeichnet; faktisch neue Items, Validierung aus P2 nicht übertragbar.</t>
  </si>
  <si>
    <t xml:space="preserve">Als inhaltliche Neuformulierung kennzeichnen, über Konstruktdefinition in P2 begründen, im Pretest prüfen.</t>
  </si>
  <si>
    <t xml:space="preserve">D1 Q2 Nr. 10; P2, S. 4</t>
  </si>
  <si>
    <t xml:space="preserve">alle Q4-Items</t>
  </si>
  <si>
    <t xml:space="preserve">Deutsche Originalfassung von P4 liegt vor (D1), trotzdem neu übersetzt („Ü“) mit Abweichungen (X3 „nachvollziehen“ → „einschätzen“, D2 „Interaktionsdaten“ → „Eingabedaten“, D3 + „vertrauliche“). Keine Adaption mit Quelle begründet.</t>
  </si>
  <si>
    <t xml:space="preserve">Deutsche P4-Fassung als Ausgangspunkt; jede Änderung mit Begründung dokumentieren.</t>
  </si>
  <si>
    <t xml:space="preserve">D1 Q4</t>
  </si>
  <si>
    <t xml:space="preserve">Skala (alle)</t>
  </si>
  <si>
    <t xml:space="preserve">Einheitliche 5er-Likert + „kann ich nicht beurteilen“. Originale: P2 7-stufig, MAILS 0–10 (Ausprägungsrating), ATAI 0–10, P3 5-stufig, P4 nicht in den Quellen enthalten. Änderung nur pauschal als [eigene Bewertung] begründet.</t>
  </si>
  <si>
    <t xml:space="preserve">Originalformate beibehalten oder Änderung je Instrument dokumentieren; Ausweichoption als fehlenden Wert codieren.</t>
  </si>
  <si>
    <t xml:space="preserve">D1 Q2; S1a, S. 1; S2, S. 112; P3, S. 5</t>
  </si>
  <si>
    <t xml:space="preserve">ATAI-01, -03, -05 (R) + Auswertung</t>
  </si>
  <si>
    <t xml:space="preserve">Fear ist in S2 eigener Faktor; Items innerhalb der Fear-Skala nicht invers. Rekodierung „vor Mittelwertbildung“ kehrt Fear um oder legt Zusammenfassung mit Acceptance nahe; widerspricht zweifaktorieller Validierung.</t>
  </si>
  <si>
    <t xml:space="preserve">(R) = Nein; Acceptance und Fear getrennt auswerten.</t>
  </si>
  <si>
    <t xml:space="preserve">S2, S. 112–113</t>
  </si>
  <si>
    <t xml:space="preserve">Q4-D3, Q4-T2 (R)</t>
  </si>
  <si>
    <t xml:space="preserve">Umpolung inhaltlich plausibel, aber nicht in den Quellen; nicht als [eigene Bewertung] gekennzeichnet.</t>
  </si>
  <si>
    <t xml:space="preserve">Kennzeichnen.</t>
  </si>
  <si>
    <t xml:space="preserve">P4 – nicht in den Quellen enthalten</t>
  </si>
  <si>
    <t xml:space="preserve">Tab. C, Gegenannahmen H3, H5, H6, H8, H9</t>
  </si>
  <si>
    <t xml:space="preserve">Gegenannahmen werden der Ursprungsquelle zugeschrieben, stehen dort aber nicht. Gegenannahme zu H6 widerspricht P3 (Conflict und MixedMotive bleiben im finalen Modell).</t>
  </si>
  <si>
    <t xml:space="preserve">Als [eigene Bewertung] kennzeichnen oder streichen. Belegt: H1, H2 (P4, S. 1, 13), H7 (P3, S. 8).</t>
  </si>
  <si>
    <t xml:space="preserve">P3, S. 6; P4; P2; S1b</t>
  </si>
  <si>
    <t xml:space="preserve">H4</t>
  </si>
  <si>
    <t xml:space="preserve">P2: H6a nicht bestätigt (β = .116, n. s.), H6b (PEOU → PBC) bestätigt. Verhaltenskontrolle nicht erhoben; Gegenannahme nicht prüfbar.</t>
  </si>
  <si>
    <t xml:space="preserve">Befundlage angeben; PBC-Items aus P2 aufnehmen oder Gegenannahme streichen.</t>
  </si>
  <si>
    <t xml:space="preserve">P2, S. 9</t>
  </si>
  <si>
    <t xml:space="preserve">Tab. A / H1</t>
  </si>
  <si>
    <t xml:space="preserve">Ability als „Systemkompetenz“ bezeichnet; P4 operationalisiert Ability als Verständnis/Nachvollziehbarkeit durch Nutzende.</t>
  </si>
  <si>
    <t xml:space="preserve">„wahrgenommene Nachvollziehbarkeit (Ability)“</t>
  </si>
  <si>
    <t xml:space="preserve">P4, S. 8</t>
  </si>
  <si>
    <t xml:space="preserve">Tab. A, ATAI Fear</t>
  </si>
  <si>
    <t xml:space="preserve">„Kontrollverlust“ kommt in den ATAI-Items nicht vor.</t>
  </si>
  <si>
    <t xml:space="preserve">Streichen.</t>
  </si>
  <si>
    <t xml:space="preserve">S2 Items 01/03/05</t>
  </si>
  <si>
    <t xml:space="preserve">Methodischer Rahmen</t>
  </si>
  <si>
    <t xml:space="preserve">Aussage „alle Items im Konjunktiv, keines setzt Erfahrung voraus“ widerspricht MAILS-34 und den indikativen ATAI- und INT-Items.</t>
  </si>
  <si>
    <t xml:space="preserve">Aussage korrigieren.</t>
  </si>
  <si>
    <t xml:space="preserve">Fragebogen Tab. B</t>
  </si>
  <si>
    <t xml:space="preserve">Tab. A (Mayer et al., 1995)</t>
  </si>
  <si>
    <t xml:space="preserve">Primärquelle liegt nicht vor; Sekundärzitat nicht als „zit. n.“ geführt.</t>
  </si>
  <si>
    <t xml:space="preserve">„Mayer et al. (1995, zit. n. Do Khac et al., 2025)“</t>
  </si>
  <si>
    <t xml:space="preserve">P4, S. 6</t>
  </si>
  <si>
    <t xml:space="preserve">Befunde je Kriterium und Schwere (berechnet aus Blatt „Befunde“)</t>
  </si>
  <si>
    <t xml:space="preserve">Bezeichnung</t>
  </si>
  <si>
    <t xml:space="preserve">Summe</t>
  </si>
  <si>
    <t xml:space="preserve">Quellenechtheit</t>
  </si>
  <si>
    <t xml:space="preserve">Theorievermischung</t>
  </si>
  <si>
    <t xml:space="preserve">Double-Barreled</t>
  </si>
  <si>
    <t xml:space="preserve">Suggestivität / Verständlichkeit</t>
  </si>
  <si>
    <t xml:space="preserve">Fehlende Quellenangaben</t>
  </si>
  <si>
    <t xml:space="preserve">Kennzahlen</t>
  </si>
  <si>
    <t xml:space="preserve">Geprüfte Items</t>
  </si>
  <si>
    <t xml:space="preserve">Geprüfte Hypothesen</t>
  </si>
  <si>
    <t xml:space="preserve">Befunde gesamt</t>
  </si>
  <si>
    <t xml:space="preserve">Befunde je Item</t>
  </si>
  <si>
    <t xml:space="preserve">Hypothesen mit A-Befund (schwer)</t>
  </si>
  <si>
    <t xml:space="preserve">Manuell gezählt: H3, H7, H8, H9, H10, H11 (Befunde Nr. 5–9; H10/H11 = Nr. 9).</t>
  </si>
  <si>
    <t xml:space="preserve">Anteil Hypothesen mit Theorievermischung/fehlendem Kriterium</t>
  </si>
  <si>
    <t xml:space="preserve">Offene Befunde (Status „offen“)</t>
  </si>
  <si>
    <t xml:space="preserve">Element</t>
  </si>
  <si>
    <t xml:space="preserve">Status</t>
  </si>
  <si>
    <t xml:space="preserve">Bemerkung</t>
  </si>
  <si>
    <t xml:space="preserve">Instruktion (inkl. Anonymitätshinweis, Beschreibung von Copilot)</t>
  </si>
  <si>
    <t xml:space="preserve">nicht vorhanden – nicht geprüft</t>
  </si>
  <si>
    <t xml:space="preserve">Kein Befund laut Prüfregel.</t>
  </si>
  <si>
    <t xml:space="preserve">Literaturverzeichnis</t>
  </si>
  <si>
    <t xml:space="preserve">Explizite Konstruktdefinitionen mit Quellenangabe</t>
  </si>
  <si>
    <t xml:space="preserve">Tabelle A enthält nur „Passung zum Fall“.</t>
  </si>
  <si>
    <t xml:space="preserve">MAILS-25, MAILS-32 (Begriffspaare)</t>
  </si>
  <si>
    <t xml:space="preserve">geprüft – kein Befund</t>
  </si>
  <si>
    <t xml:space="preserve">Validierte Originale (α = .84 bzw. .71; S1b, S. 6), inhaltlich eindimensional.</t>
  </si>
  <si>
    <t xml:space="preserve">ATAI-03 (extremer Wortlaut)</t>
  </si>
  <si>
    <t xml:space="preserve">Validiertes Original (S2).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</si>
</sst>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 t="s">
        <v>11</v>
      </c>
      <c r="B7" s="2" t="s">
        <v>12</v>
      </c>
    </row>
    <row r="8" customFormat="false" ht="15" hidden="false" customHeight="false" outlineLevel="0" collapsed="false">
      <c r="A8" s="3" t="s">
        <v>13</v>
      </c>
      <c r="B8" s="2" t="s">
        <v>14</v>
      </c>
    </row>
    <row r="9" customFormat="false" ht="15" hidden="false" customHeight="false" outlineLevel="0" collapsed="false">
      <c r="A9" s="3" t="s">
        <v>15</v>
      </c>
      <c r="B9" s="2" t="s">
        <v>16</v>
      </c>
    </row>
    <row r="10" customFormat="false" ht="23.85" hidden="false" customHeight="false" outlineLevel="0" collapsed="false">
      <c r="A10" s="3" t="s">
        <v>17</v>
      </c>
      <c r="B10" s="2" t="s">
        <v>18</v>
      </c>
    </row>
    <row r="11" customFormat="false" ht="15" hidden="false" customHeight="false" outlineLevel="0" collapsed="false">
      <c r="A11" s="3" t="s">
        <v>19</v>
      </c>
      <c r="B11" s="2" t="n">
        <v>35</v>
      </c>
    </row>
    <row r="12" customFormat="false" ht="15" hidden="false" customHeight="false" outlineLevel="0" collapsed="false">
      <c r="A12" s="3" t="s">
        <v>20</v>
      </c>
      <c r="B12" s="2" t="s">
        <v>21</v>
      </c>
    </row>
    <row r="13" customFormat="false" ht="15" hidden="false" customHeight="false" outlineLevel="0" collapsed="false">
      <c r="A13" s="3" t="s">
        <v>22</v>
      </c>
      <c r="B13" s="2" t="n">
        <v>11</v>
      </c>
    </row>
    <row r="14" customFormat="false" ht="15" hidden="false" customHeight="false" outlineLevel="0" collapsed="false">
      <c r="A14" s="3" t="s">
        <v>23</v>
      </c>
      <c r="B14" s="2" t="s">
        <v>24</v>
      </c>
    </row>
    <row r="15" customFormat="false" ht="23.85" hidden="false" customHeight="false" outlineLevel="0" collapsed="false">
      <c r="A15" s="3" t="s">
        <v>25</v>
      </c>
      <c r="B15" s="2" t="s">
        <v>26</v>
      </c>
    </row>
    <row r="16" customFormat="false" ht="15" hidden="false" customHeight="false" outlineLevel="0" collapsed="false">
      <c r="A16" s="3" t="s">
        <v>27</v>
      </c>
      <c r="B1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26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customFormat="false" ht="35.05" hidden="false" customHeight="false" outlineLevel="0" collapsed="false">
      <c r="A2" s="5" t="n">
        <v>1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</row>
    <row r="3" customFormat="false" ht="35.05" hidden="false" customHeight="false" outlineLevel="0" collapsed="false">
      <c r="A3" s="5" t="n">
        <v>2</v>
      </c>
      <c r="B3" s="5" t="s">
        <v>37</v>
      </c>
      <c r="C3" s="5" t="s">
        <v>44</v>
      </c>
      <c r="D3" s="5" t="s">
        <v>45</v>
      </c>
      <c r="E3" s="5" t="s">
        <v>40</v>
      </c>
      <c r="F3" s="5" t="s">
        <v>46</v>
      </c>
      <c r="G3" s="5" t="s">
        <v>47</v>
      </c>
      <c r="H3" s="5" t="s">
        <v>43</v>
      </c>
    </row>
    <row r="4" customFormat="false" ht="46.25" hidden="false" customHeight="false" outlineLevel="0" collapsed="false">
      <c r="A4" s="5" t="n">
        <v>3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43</v>
      </c>
    </row>
    <row r="5" customFormat="false" ht="46.25" hidden="false" customHeight="false" outlineLevel="0" collapsed="false">
      <c r="A5" s="5" t="n">
        <v>4</v>
      </c>
      <c r="B5" s="5" t="s">
        <v>48</v>
      </c>
      <c r="C5" s="5" t="s">
        <v>54</v>
      </c>
      <c r="D5" s="5" t="s">
        <v>55</v>
      </c>
      <c r="E5" s="5" t="s">
        <v>51</v>
      </c>
      <c r="F5" s="5" t="s">
        <v>56</v>
      </c>
      <c r="G5" s="5" t="s">
        <v>57</v>
      </c>
      <c r="H5" s="5" t="s">
        <v>43</v>
      </c>
    </row>
    <row r="6" customFormat="false" ht="35.05" hidden="false" customHeight="false" outlineLevel="0" collapsed="false">
      <c r="A6" s="5" t="n">
        <v>5</v>
      </c>
      <c r="B6" s="5" t="s">
        <v>48</v>
      </c>
      <c r="C6" s="5" t="s">
        <v>58</v>
      </c>
      <c r="D6" s="5" t="s">
        <v>59</v>
      </c>
      <c r="E6" s="5" t="s">
        <v>51</v>
      </c>
      <c r="F6" s="5" t="s">
        <v>60</v>
      </c>
      <c r="G6" s="5" t="s">
        <v>61</v>
      </c>
      <c r="H6" s="5" t="s">
        <v>43</v>
      </c>
    </row>
    <row r="7" customFormat="false" ht="23.85" hidden="false" customHeight="false" outlineLevel="0" collapsed="false">
      <c r="A7" s="5" t="n">
        <v>6</v>
      </c>
      <c r="B7" s="5" t="s">
        <v>48</v>
      </c>
      <c r="C7" s="5" t="s">
        <v>62</v>
      </c>
      <c r="D7" s="5" t="s">
        <v>63</v>
      </c>
      <c r="E7" s="5" t="s">
        <v>51</v>
      </c>
      <c r="F7" s="5" t="s">
        <v>64</v>
      </c>
      <c r="G7" s="5" t="s">
        <v>65</v>
      </c>
      <c r="H7" s="5" t="s">
        <v>43</v>
      </c>
    </row>
    <row r="8" customFormat="false" ht="46.25" hidden="false" customHeight="false" outlineLevel="0" collapsed="false">
      <c r="A8" s="5" t="n">
        <v>7</v>
      </c>
      <c r="B8" s="5" t="s">
        <v>48</v>
      </c>
      <c r="C8" s="5" t="s">
        <v>66</v>
      </c>
      <c r="D8" s="5" t="s">
        <v>67</v>
      </c>
      <c r="E8" s="5" t="s">
        <v>51</v>
      </c>
      <c r="F8" s="5" t="s">
        <v>68</v>
      </c>
      <c r="G8" s="5" t="s">
        <v>69</v>
      </c>
      <c r="H8" s="5" t="s">
        <v>43</v>
      </c>
    </row>
    <row r="9" customFormat="false" ht="35.05" hidden="false" customHeight="false" outlineLevel="0" collapsed="false">
      <c r="A9" s="5" t="n">
        <v>8</v>
      </c>
      <c r="B9" s="5" t="s">
        <v>48</v>
      </c>
      <c r="C9" s="5" t="s">
        <v>70</v>
      </c>
      <c r="D9" s="5" t="s">
        <v>71</v>
      </c>
      <c r="E9" s="5" t="s">
        <v>51</v>
      </c>
      <c r="F9" s="5" t="s">
        <v>72</v>
      </c>
      <c r="G9" s="5" t="s">
        <v>73</v>
      </c>
      <c r="H9" s="5" t="s">
        <v>43</v>
      </c>
    </row>
    <row r="10" customFormat="false" ht="57.45" hidden="false" customHeight="false" outlineLevel="0" collapsed="false">
      <c r="A10" s="5" t="n">
        <v>9</v>
      </c>
      <c r="B10" s="5" t="s">
        <v>48</v>
      </c>
      <c r="C10" s="5" t="s">
        <v>74</v>
      </c>
      <c r="D10" s="5" t="s">
        <v>75</v>
      </c>
      <c r="E10" s="5" t="s">
        <v>51</v>
      </c>
      <c r="F10" s="5" t="s">
        <v>76</v>
      </c>
      <c r="G10" s="5" t="s">
        <v>77</v>
      </c>
      <c r="H10" s="5" t="s">
        <v>43</v>
      </c>
    </row>
    <row r="11" customFormat="false" ht="35.05" hidden="false" customHeight="false" outlineLevel="0" collapsed="false">
      <c r="A11" s="5" t="n">
        <v>10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43</v>
      </c>
    </row>
    <row r="12" customFormat="false" ht="15" hidden="false" customHeight="false" outlineLevel="0" collapsed="false">
      <c r="A12" s="5" t="n">
        <v>11</v>
      </c>
      <c r="B12" s="5" t="s">
        <v>78</v>
      </c>
      <c r="C12" s="5" t="s">
        <v>84</v>
      </c>
      <c r="D12" s="5" t="s">
        <v>85</v>
      </c>
      <c r="E12" s="5" t="s">
        <v>40</v>
      </c>
      <c r="F12" s="5" t="s">
        <v>86</v>
      </c>
      <c r="G12" s="5" t="s">
        <v>87</v>
      </c>
      <c r="H12" s="5" t="s">
        <v>43</v>
      </c>
    </row>
    <row r="13" customFormat="false" ht="23.85" hidden="false" customHeight="false" outlineLevel="0" collapsed="false">
      <c r="A13" s="5" t="n">
        <v>12</v>
      </c>
      <c r="B13" s="5" t="s">
        <v>78</v>
      </c>
      <c r="C13" s="5" t="s">
        <v>88</v>
      </c>
      <c r="D13" s="5" t="s">
        <v>89</v>
      </c>
      <c r="E13" s="5" t="s">
        <v>40</v>
      </c>
      <c r="F13" s="5" t="s">
        <v>90</v>
      </c>
      <c r="G13" s="5" t="s">
        <v>91</v>
      </c>
      <c r="H13" s="5" t="s">
        <v>43</v>
      </c>
    </row>
    <row r="14" customFormat="false" ht="23.85" hidden="false" customHeight="false" outlineLevel="0" collapsed="false">
      <c r="A14" s="5" t="n">
        <v>13</v>
      </c>
      <c r="B14" s="5" t="s">
        <v>92</v>
      </c>
      <c r="C14" s="5" t="s">
        <v>93</v>
      </c>
      <c r="D14" s="5" t="s">
        <v>94</v>
      </c>
      <c r="E14" s="5" t="s">
        <v>81</v>
      </c>
      <c r="F14" s="5" t="s">
        <v>95</v>
      </c>
      <c r="G14" s="5" t="s">
        <v>96</v>
      </c>
      <c r="H14" s="5" t="s">
        <v>43</v>
      </c>
    </row>
    <row r="15" customFormat="false" ht="35.05" hidden="false" customHeight="false" outlineLevel="0" collapsed="false">
      <c r="A15" s="5" t="n">
        <v>14</v>
      </c>
      <c r="B15" s="5" t="s">
        <v>92</v>
      </c>
      <c r="C15" s="5" t="s">
        <v>97</v>
      </c>
      <c r="D15" s="5" t="s">
        <v>98</v>
      </c>
      <c r="E15" s="5" t="s">
        <v>81</v>
      </c>
      <c r="F15" s="5" t="s">
        <v>99</v>
      </c>
      <c r="G15" s="5" t="s">
        <v>100</v>
      </c>
      <c r="H15" s="5" t="s">
        <v>43</v>
      </c>
    </row>
    <row r="16" customFormat="false" ht="15" hidden="false" customHeight="false" outlineLevel="0" collapsed="false">
      <c r="A16" s="5" t="n">
        <v>15</v>
      </c>
      <c r="B16" s="5" t="s">
        <v>101</v>
      </c>
      <c r="C16" s="5" t="s">
        <v>102</v>
      </c>
      <c r="D16" s="5" t="s">
        <v>103</v>
      </c>
      <c r="E16" s="5" t="s">
        <v>40</v>
      </c>
      <c r="F16" s="5" t="s">
        <v>104</v>
      </c>
      <c r="G16" s="5" t="s">
        <v>105</v>
      </c>
      <c r="H16" s="5" t="s">
        <v>43</v>
      </c>
    </row>
    <row r="17" customFormat="false" ht="23.85" hidden="false" customHeight="false" outlineLevel="0" collapsed="false">
      <c r="A17" s="5" t="n">
        <v>16</v>
      </c>
      <c r="B17" s="5" t="s">
        <v>101</v>
      </c>
      <c r="C17" s="5" t="s">
        <v>106</v>
      </c>
      <c r="D17" s="5" t="s">
        <v>107</v>
      </c>
      <c r="E17" s="5" t="s">
        <v>81</v>
      </c>
      <c r="F17" s="5" t="s">
        <v>108</v>
      </c>
      <c r="G17" s="5" t="s">
        <v>109</v>
      </c>
      <c r="H17" s="5" t="s">
        <v>43</v>
      </c>
    </row>
    <row r="18" customFormat="false" ht="35.05" hidden="false" customHeight="false" outlineLevel="0" collapsed="false">
      <c r="A18" s="5" t="n">
        <v>17</v>
      </c>
      <c r="B18" s="5" t="s">
        <v>101</v>
      </c>
      <c r="C18" s="5" t="s">
        <v>110</v>
      </c>
      <c r="D18" s="5" t="s">
        <v>111</v>
      </c>
      <c r="E18" s="5" t="s">
        <v>81</v>
      </c>
      <c r="F18" s="5" t="s">
        <v>112</v>
      </c>
      <c r="G18" s="5" t="s">
        <v>113</v>
      </c>
      <c r="H18" s="5" t="s">
        <v>43</v>
      </c>
    </row>
    <row r="19" customFormat="false" ht="23.85" hidden="false" customHeight="false" outlineLevel="0" collapsed="false">
      <c r="A19" s="5" t="n">
        <v>18</v>
      </c>
      <c r="B19" s="5" t="s">
        <v>101</v>
      </c>
      <c r="C19" s="5" t="s">
        <v>114</v>
      </c>
      <c r="D19" s="5" t="s">
        <v>115</v>
      </c>
      <c r="E19" s="5" t="s">
        <v>81</v>
      </c>
      <c r="F19" s="5" t="s">
        <v>116</v>
      </c>
      <c r="G19" s="5" t="s">
        <v>117</v>
      </c>
      <c r="H19" s="5" t="s">
        <v>43</v>
      </c>
    </row>
    <row r="20" customFormat="false" ht="35.05" hidden="false" customHeight="false" outlineLevel="0" collapsed="false">
      <c r="A20" s="5" t="n">
        <v>19</v>
      </c>
      <c r="B20" s="5" t="s">
        <v>101</v>
      </c>
      <c r="C20" s="5" t="s">
        <v>118</v>
      </c>
      <c r="D20" s="5" t="s">
        <v>119</v>
      </c>
      <c r="E20" s="5" t="s">
        <v>81</v>
      </c>
      <c r="F20" s="5" t="s">
        <v>120</v>
      </c>
      <c r="G20" s="5" t="s">
        <v>121</v>
      </c>
      <c r="H20" s="5" t="s">
        <v>43</v>
      </c>
    </row>
    <row r="21" customFormat="false" ht="35.05" hidden="false" customHeight="false" outlineLevel="0" collapsed="false">
      <c r="A21" s="5" t="n">
        <v>20</v>
      </c>
      <c r="B21" s="5" t="s">
        <v>101</v>
      </c>
      <c r="C21" s="5" t="s">
        <v>122</v>
      </c>
      <c r="D21" s="5" t="s">
        <v>123</v>
      </c>
      <c r="E21" s="5" t="s">
        <v>81</v>
      </c>
      <c r="F21" s="5" t="s">
        <v>124</v>
      </c>
      <c r="G21" s="5" t="s">
        <v>125</v>
      </c>
      <c r="H21" s="5" t="s">
        <v>43</v>
      </c>
    </row>
    <row r="22" customFormat="false" ht="35.05" hidden="false" customHeight="false" outlineLevel="0" collapsed="false">
      <c r="A22" s="5" t="n">
        <v>21</v>
      </c>
      <c r="B22" s="5" t="s">
        <v>101</v>
      </c>
      <c r="C22" s="5" t="s">
        <v>126</v>
      </c>
      <c r="D22" s="5" t="s">
        <v>127</v>
      </c>
      <c r="E22" s="5" t="s">
        <v>81</v>
      </c>
      <c r="F22" s="5" t="s">
        <v>128</v>
      </c>
      <c r="G22" s="5" t="s">
        <v>129</v>
      </c>
      <c r="H22" s="5" t="s">
        <v>43</v>
      </c>
    </row>
    <row r="23" customFormat="false" ht="23.85" hidden="false" customHeight="false" outlineLevel="0" collapsed="false">
      <c r="A23" s="5" t="n">
        <v>22</v>
      </c>
      <c r="B23" s="5" t="s">
        <v>101</v>
      </c>
      <c r="C23" s="5" t="s">
        <v>130</v>
      </c>
      <c r="D23" s="5" t="s">
        <v>131</v>
      </c>
      <c r="E23" s="5" t="s">
        <v>40</v>
      </c>
      <c r="F23" s="5" t="s">
        <v>132</v>
      </c>
      <c r="G23" s="5" t="s">
        <v>133</v>
      </c>
      <c r="H23" s="5" t="s">
        <v>43</v>
      </c>
    </row>
    <row r="24" customFormat="false" ht="35.05" hidden="false" customHeight="false" outlineLevel="0" collapsed="false">
      <c r="A24" s="5" t="n">
        <v>23</v>
      </c>
      <c r="B24" s="5" t="s">
        <v>101</v>
      </c>
      <c r="C24" s="5" t="s">
        <v>134</v>
      </c>
      <c r="D24" s="5" t="s">
        <v>135</v>
      </c>
      <c r="E24" s="5" t="s">
        <v>81</v>
      </c>
      <c r="F24" s="5" t="s">
        <v>136</v>
      </c>
      <c r="G24" s="5" t="s">
        <v>137</v>
      </c>
      <c r="H24" s="5" t="s">
        <v>43</v>
      </c>
    </row>
    <row r="25" customFormat="false" ht="23.85" hidden="false" customHeight="false" outlineLevel="0" collapsed="false">
      <c r="A25" s="5" t="n">
        <v>24</v>
      </c>
      <c r="B25" s="5" t="s">
        <v>101</v>
      </c>
      <c r="C25" s="5" t="s">
        <v>138</v>
      </c>
      <c r="D25" s="5" t="s">
        <v>139</v>
      </c>
      <c r="E25" s="5" t="s">
        <v>40</v>
      </c>
      <c r="F25" s="5" t="s">
        <v>140</v>
      </c>
      <c r="G25" s="5" t="s">
        <v>141</v>
      </c>
      <c r="H25" s="5" t="s">
        <v>43</v>
      </c>
    </row>
    <row r="26" customFormat="false" ht="23.85" hidden="false" customHeight="false" outlineLevel="0" collapsed="false">
      <c r="A26" s="5" t="n">
        <v>25</v>
      </c>
      <c r="B26" s="5" t="s">
        <v>101</v>
      </c>
      <c r="C26" s="5" t="s">
        <v>142</v>
      </c>
      <c r="D26" s="5" t="s">
        <v>143</v>
      </c>
      <c r="E26" s="5" t="s">
        <v>40</v>
      </c>
      <c r="F26" s="5" t="s">
        <v>144</v>
      </c>
      <c r="G26" s="5" t="s">
        <v>145</v>
      </c>
      <c r="H26" s="5" t="s">
        <v>43</v>
      </c>
    </row>
    <row r="27" customFormat="false" ht="15" hidden="false" customHeight="false" outlineLevel="0" collapsed="false">
      <c r="A27" s="5" t="n">
        <v>26</v>
      </c>
      <c r="B27" s="5" t="s">
        <v>101</v>
      </c>
      <c r="C27" s="5" t="s">
        <v>146</v>
      </c>
      <c r="D27" s="5" t="s">
        <v>147</v>
      </c>
      <c r="E27" s="5" t="s">
        <v>40</v>
      </c>
      <c r="F27" s="5" t="s">
        <v>148</v>
      </c>
      <c r="G27" s="5" t="s">
        <v>149</v>
      </c>
      <c r="H27" s="5" t="s">
        <v>43</v>
      </c>
    </row>
    <row r="28" customFormat="false" ht="23.85" hidden="false" customHeight="false" outlineLevel="0" collapsed="false">
      <c r="A28" s="5" t="n">
        <v>27</v>
      </c>
      <c r="B28" s="5" t="s">
        <v>101</v>
      </c>
      <c r="C28" s="5" t="s">
        <v>150</v>
      </c>
      <c r="D28" s="5" t="s">
        <v>151</v>
      </c>
      <c r="E28" s="5" t="s">
        <v>40</v>
      </c>
      <c r="F28" s="5" t="s">
        <v>152</v>
      </c>
      <c r="G28" s="5" t="s">
        <v>153</v>
      </c>
      <c r="H28" s="5" t="s">
        <v>43</v>
      </c>
    </row>
    <row r="29" customFormat="false" ht="15" hidden="false" customHeight="false" outlineLevel="0" collapsed="false">
      <c r="A29" s="5" t="n">
        <v>28</v>
      </c>
      <c r="B29" s="5" t="s">
        <v>101</v>
      </c>
      <c r="C29" s="5" t="s">
        <v>154</v>
      </c>
      <c r="D29" s="5" t="s">
        <v>155</v>
      </c>
      <c r="E29" s="5" t="s">
        <v>40</v>
      </c>
      <c r="F29" s="5" t="s">
        <v>156</v>
      </c>
      <c r="G29" s="5" t="s">
        <v>157</v>
      </c>
      <c r="H29" s="5" t="s">
        <v>43</v>
      </c>
    </row>
  </sheetData>
  <autoFilter ref="A1:H29"/>
  <conditionalFormatting sqref="E2:E79">
    <cfRule type="cellIs" priority="2" operator="equal" aboveAverage="0" equalAverage="0" bottom="0" percent="0" rank="0" text="" dxfId="6">
      <formula>"schwer"</formula>
    </cfRule>
    <cfRule type="cellIs" priority="3" operator="equal" aboveAverage="0" equalAverage="0" bottom="0" percent="0" rank="0" text="" dxfId="7">
      <formula>"mittel"</formula>
    </cfRule>
    <cfRule type="cellIs" priority="4" operator="equal" aboveAverage="0" equalAverage="0" bottom="0" percent="0" rank="0" text="" dxfId="8">
      <formula>"gering"</formula>
    </cfRule>
  </conditionalFormatting>
  <dataValidations count="3">
    <dataValidation allowBlank="false" errorStyle="stop" operator="between" showDropDown="false" showErrorMessage="false" showInputMessage="false" sqref="E2:E79" type="list">
      <formula1>"schwer,mittel,gering"</formula1>
      <formula2>0</formula2>
    </dataValidation>
    <dataValidation allowBlank="false" errorStyle="stop" operator="between" showDropDown="false" showErrorMessage="false" showInputMessage="false" sqref="B2:B79" type="list">
      <formula1>"0,A,B,C,D"</formula1>
      <formula2>0</formula2>
    </dataValidation>
    <dataValidation allowBlank="false" errorStyle="stop" operator="between" showDropDown="false" showErrorMessage="false" showInputMessage="false" sqref="H2:H79" type="list">
      <formula1>"offen,in Prompt V3 überarbeitet,behoben im Folgelauf,nicht übernommen"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6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6" t="s">
        <v>158</v>
      </c>
    </row>
    <row r="3" customFormat="false" ht="15" hidden="false" customHeight="false" outlineLevel="0" collapsed="false">
      <c r="A3" s="4" t="s">
        <v>30</v>
      </c>
      <c r="B3" s="4" t="s">
        <v>159</v>
      </c>
      <c r="C3" s="4" t="s">
        <v>51</v>
      </c>
      <c r="D3" s="4" t="s">
        <v>81</v>
      </c>
      <c r="E3" s="4" t="s">
        <v>40</v>
      </c>
      <c r="F3" s="4" t="s">
        <v>160</v>
      </c>
    </row>
    <row r="4" customFormat="false" ht="15" hidden="false" customHeight="false" outlineLevel="0" collapsed="false">
      <c r="A4" s="7" t="s">
        <v>37</v>
      </c>
      <c r="B4" s="7" t="s">
        <v>161</v>
      </c>
      <c r="C4" s="7" t="n">
        <f aca="false">COUNTIFS(Befunde!$B$2:$B$500,$A4,Befunde!$E$2:$E$500,C$3)</f>
        <v>0</v>
      </c>
      <c r="D4" s="7" t="n">
        <f aca="false">COUNTIFS(Befunde!$B$2:$B$500,$A4,Befunde!$E$2:$E$500,D$3)</f>
        <v>0</v>
      </c>
      <c r="E4" s="7" t="n">
        <f aca="false">COUNTIFS(Befunde!$B$2:$B$500,$A4,Befunde!$E$2:$E$500,E$3)</f>
        <v>2</v>
      </c>
      <c r="F4" s="7" t="n">
        <f aca="false">SUM(C4:E4)</f>
        <v>2</v>
      </c>
    </row>
    <row r="5" customFormat="false" ht="15" hidden="false" customHeight="false" outlineLevel="0" collapsed="false">
      <c r="A5" s="7" t="s">
        <v>48</v>
      </c>
      <c r="B5" s="7" t="s">
        <v>162</v>
      </c>
      <c r="C5" s="7" t="n">
        <f aca="false">COUNTIFS(Befunde!$B$2:$B$500,$A5,Befunde!$E$2:$E$500,C$3)</f>
        <v>7</v>
      </c>
      <c r="D5" s="7" t="n">
        <f aca="false">COUNTIFS(Befunde!$B$2:$B$500,$A5,Befunde!$E$2:$E$500,D$3)</f>
        <v>0</v>
      </c>
      <c r="E5" s="7" t="n">
        <f aca="false">COUNTIFS(Befunde!$B$2:$B$500,$A5,Befunde!$E$2:$E$500,E$3)</f>
        <v>0</v>
      </c>
      <c r="F5" s="7" t="n">
        <f aca="false">SUM(C5:E5)</f>
        <v>7</v>
      </c>
    </row>
    <row r="6" customFormat="false" ht="15" hidden="false" customHeight="false" outlineLevel="0" collapsed="false">
      <c r="A6" s="7" t="s">
        <v>78</v>
      </c>
      <c r="B6" s="7" t="s">
        <v>163</v>
      </c>
      <c r="C6" s="7" t="n">
        <f aca="false">COUNTIFS(Befunde!$B$2:$B$500,$A6,Befunde!$E$2:$E$500,C$3)</f>
        <v>0</v>
      </c>
      <c r="D6" s="7" t="n">
        <f aca="false">COUNTIFS(Befunde!$B$2:$B$500,$A6,Befunde!$E$2:$E$500,D$3)</f>
        <v>1</v>
      </c>
      <c r="E6" s="7" t="n">
        <f aca="false">COUNTIFS(Befunde!$B$2:$B$500,$A6,Befunde!$E$2:$E$500,E$3)</f>
        <v>2</v>
      </c>
      <c r="F6" s="7" t="n">
        <f aca="false">SUM(C6:E6)</f>
        <v>3</v>
      </c>
    </row>
    <row r="7" customFormat="false" ht="15" hidden="false" customHeight="false" outlineLevel="0" collapsed="false">
      <c r="A7" s="7" t="s">
        <v>92</v>
      </c>
      <c r="B7" s="7" t="s">
        <v>164</v>
      </c>
      <c r="C7" s="7" t="n">
        <f aca="false">COUNTIFS(Befunde!$B$2:$B$500,$A7,Befunde!$E$2:$E$500,C$3)</f>
        <v>0</v>
      </c>
      <c r="D7" s="7" t="n">
        <f aca="false">COUNTIFS(Befunde!$B$2:$B$500,$A7,Befunde!$E$2:$E$500,D$3)</f>
        <v>2</v>
      </c>
      <c r="E7" s="7" t="n">
        <f aca="false">COUNTIFS(Befunde!$B$2:$B$500,$A7,Befunde!$E$2:$E$500,E$3)</f>
        <v>0</v>
      </c>
      <c r="F7" s="7" t="n">
        <f aca="false">SUM(C7:E7)</f>
        <v>2</v>
      </c>
    </row>
    <row r="8" customFormat="false" ht="15" hidden="false" customHeight="false" outlineLevel="0" collapsed="false">
      <c r="A8" s="7" t="s">
        <v>101</v>
      </c>
      <c r="B8" s="7" t="s">
        <v>165</v>
      </c>
      <c r="C8" s="7" t="n">
        <f aca="false">COUNTIFS(Befunde!$B$2:$B$500,$A8,Befunde!$E$2:$E$500,C$3)</f>
        <v>0</v>
      </c>
      <c r="D8" s="7" t="n">
        <f aca="false">COUNTIFS(Befunde!$B$2:$B$500,$A8,Befunde!$E$2:$E$500,D$3)</f>
        <v>7</v>
      </c>
      <c r="E8" s="7" t="n">
        <f aca="false">COUNTIFS(Befunde!$B$2:$B$500,$A8,Befunde!$E$2:$E$500,E$3)</f>
        <v>7</v>
      </c>
      <c r="F8" s="7" t="n">
        <f aca="false">SUM(C8:E8)</f>
        <v>14</v>
      </c>
    </row>
    <row r="9" customFormat="false" ht="15" hidden="false" customHeight="false" outlineLevel="0" collapsed="false">
      <c r="A9" s="8" t="s">
        <v>160</v>
      </c>
      <c r="B9" s="8"/>
      <c r="C9" s="8" t="n">
        <f aca="false">SUM(C4:C8)</f>
        <v>7</v>
      </c>
      <c r="D9" s="8" t="n">
        <f aca="false">SUM(D4:D8)</f>
        <v>10</v>
      </c>
      <c r="E9" s="8" t="n">
        <f aca="false">SUM(E4:E8)</f>
        <v>11</v>
      </c>
      <c r="F9" s="8" t="n">
        <f aca="false">SUM(F4:F8)</f>
        <v>28</v>
      </c>
    </row>
    <row r="11" customFormat="false" ht="15" hidden="false" customHeight="false" outlineLevel="0" collapsed="false">
      <c r="A11" s="6" t="s">
        <v>166</v>
      </c>
    </row>
    <row r="12" customFormat="false" ht="15" hidden="false" customHeight="false" outlineLevel="0" collapsed="false">
      <c r="A12" s="5" t="s">
        <v>167</v>
      </c>
      <c r="B12" s="7" t="n">
        <f aca="false">'Lauf-Info'!B11</f>
        <v>35</v>
      </c>
    </row>
    <row r="13" customFormat="false" ht="15" hidden="false" customHeight="false" outlineLevel="0" collapsed="false">
      <c r="A13" s="5" t="s">
        <v>168</v>
      </c>
      <c r="B13" s="7" t="n">
        <f aca="false">'Lauf-Info'!B13</f>
        <v>11</v>
      </c>
    </row>
    <row r="14" customFormat="false" ht="15" hidden="false" customHeight="false" outlineLevel="0" collapsed="false">
      <c r="A14" s="5" t="s">
        <v>169</v>
      </c>
      <c r="B14" s="7" t="n">
        <f aca="false">F9</f>
        <v>28</v>
      </c>
    </row>
    <row r="15" customFormat="false" ht="15" hidden="false" customHeight="false" outlineLevel="0" collapsed="false">
      <c r="A15" s="5" t="s">
        <v>170</v>
      </c>
      <c r="B15" s="9" t="n">
        <f aca="false">IFERROR(F9/B12,0)</f>
        <v>0.8</v>
      </c>
    </row>
    <row r="16" customFormat="false" ht="15" hidden="false" customHeight="false" outlineLevel="0" collapsed="false">
      <c r="A16" s="5" t="s">
        <v>171</v>
      </c>
      <c r="B16" s="10" t="n">
        <v>6</v>
      </c>
      <c r="C16" s="11" t="s">
        <v>172</v>
      </c>
    </row>
    <row r="17" customFormat="false" ht="23.85" hidden="false" customHeight="false" outlineLevel="0" collapsed="false">
      <c r="A17" s="5" t="s">
        <v>173</v>
      </c>
      <c r="B17" s="12" t="n">
        <f aca="false">IFERROR(B16/B13,0)</f>
        <v>0.545454545454545</v>
      </c>
    </row>
    <row r="18" customFormat="false" ht="15" hidden="false" customHeight="false" outlineLevel="0" collapsed="false">
      <c r="A18" s="5" t="s">
        <v>174</v>
      </c>
      <c r="B18" s="7" t="n">
        <f aca="false">COUNTIF(Befunde!$H$2:$H$500,"offen")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175</v>
      </c>
      <c r="B1" s="4" t="s">
        <v>176</v>
      </c>
      <c r="C1" s="4" t="s">
        <v>177</v>
      </c>
    </row>
    <row r="2" customFormat="false" ht="23.85" hidden="false" customHeight="false" outlineLevel="0" collapsed="false">
      <c r="A2" s="5" t="s">
        <v>178</v>
      </c>
      <c r="B2" s="5" t="s">
        <v>179</v>
      </c>
      <c r="C2" s="5" t="s">
        <v>180</v>
      </c>
    </row>
    <row r="3" customFormat="false" ht="15" hidden="false" customHeight="false" outlineLevel="0" collapsed="false">
      <c r="A3" s="5" t="s">
        <v>181</v>
      </c>
      <c r="B3" s="5" t="s">
        <v>179</v>
      </c>
      <c r="C3" s="5" t="s">
        <v>180</v>
      </c>
    </row>
    <row r="4" customFormat="false" ht="23.85" hidden="false" customHeight="false" outlineLevel="0" collapsed="false">
      <c r="A4" s="5" t="s">
        <v>182</v>
      </c>
      <c r="B4" s="5" t="s">
        <v>179</v>
      </c>
      <c r="C4" s="5" t="s">
        <v>183</v>
      </c>
    </row>
    <row r="5" customFormat="false" ht="15" hidden="false" customHeight="false" outlineLevel="0" collapsed="false">
      <c r="A5" s="5" t="s">
        <v>184</v>
      </c>
      <c r="B5" s="5" t="s">
        <v>185</v>
      </c>
      <c r="C5" s="5" t="s">
        <v>186</v>
      </c>
    </row>
    <row r="6" customFormat="false" ht="15" hidden="false" customHeight="false" outlineLevel="0" collapsed="false">
      <c r="A6" s="5" t="s">
        <v>187</v>
      </c>
      <c r="B6" s="5" t="s">
        <v>185</v>
      </c>
      <c r="C6" s="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2026-10-16T11:21:06Z</dcterms:created>
  <dc:creator>openpyxl</dc:creator>
  <dc:description/>
  <dc:language>en-US</dc:language>
  <cp:lastModifiedBy/>
  <dcterms:modified xsi:type="dcterms:W3CDTF">2026-10-16T11:21:06Z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